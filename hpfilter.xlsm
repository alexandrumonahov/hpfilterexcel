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3040" windowHeight="8124"/>
  </bookViews>
  <sheets>
    <sheet name="hpfilter" sheetId="1" r:id="rId1"/>
    <sheet name="Example" sheetId="3" r:id="rId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HPONE">
          <x14:argumentDescriptions count="3">
            <x14:argumentDescription index="0">Range.  Select the data range, which can include multiple series</x14:argumentDescription>
            <x14:argumentDescription index="1">Lambda.  Set the smoothing parameter lambda</x14:argumentDescription>
            <x14:argumentDescription index="2">Direction.  (Optional) if variables are in rows and data is in columns from right to left, set to: horizontal</x14:argumentDescription>
          </x14:argumentDescriptions>
        </x14:definedName>
        <x14:definedName name="HPTWO">
          <x14:argumentDescriptions count="3">
            <x14:argumentDescription index="0">Range.  Select the data range, which can include multiple series</x14:argumentDescription>
            <x14:argumentDescription index="1">Lambda.  Set the smoothing parameter lambda</x14:argumentDescription>
            <x14:argumentDescription index="2">Direction.  (Optional) if variables are in rows and data is in columns from right to left, set to: horizontal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J3" i="3" a="1"/>
  <c r="K3" i="3" a="1"/>
  <c r="I3" i="3" a="1"/>
  <c r="I81" i="3" l="1"/>
  <c r="I72" i="3"/>
  <c r="I105" i="3"/>
  <c r="I57" i="3"/>
  <c r="I34" i="3"/>
  <c r="I40" i="3"/>
  <c r="I47" i="3"/>
  <c r="I7" i="3"/>
  <c r="I6" i="3"/>
  <c r="I9" i="3"/>
  <c r="I16" i="3"/>
  <c r="I52" i="3"/>
  <c r="I48" i="3"/>
  <c r="I69" i="3"/>
  <c r="I33" i="3"/>
  <c r="I20" i="3"/>
  <c r="I49" i="3"/>
  <c r="I59" i="3"/>
  <c r="I21" i="3"/>
  <c r="I100" i="3"/>
  <c r="I58" i="3"/>
  <c r="I80" i="3"/>
  <c r="I95" i="3"/>
  <c r="I4" i="3"/>
  <c r="I8" i="3"/>
  <c r="I76" i="3"/>
  <c r="I82" i="3"/>
  <c r="I14" i="3"/>
  <c r="I84" i="3"/>
  <c r="I67" i="3"/>
  <c r="I46" i="3"/>
  <c r="I85" i="3"/>
  <c r="I97" i="3"/>
  <c r="I44" i="3"/>
  <c r="I26" i="3"/>
  <c r="I106" i="3"/>
  <c r="I89" i="3"/>
  <c r="I68" i="3"/>
  <c r="I90" i="3"/>
  <c r="I109" i="3"/>
  <c r="I42" i="3"/>
  <c r="I23" i="3"/>
  <c r="I31" i="3"/>
  <c r="I15" i="3"/>
  <c r="I24" i="3"/>
  <c r="I103" i="3"/>
  <c r="I110" i="3"/>
  <c r="I93" i="3"/>
  <c r="I108" i="3"/>
  <c r="I19" i="3"/>
  <c r="I60" i="3"/>
  <c r="I66" i="3"/>
  <c r="I62" i="3"/>
  <c r="I107" i="3"/>
  <c r="I56" i="3"/>
  <c r="I65" i="3"/>
  <c r="I79" i="3"/>
  <c r="I86" i="3"/>
  <c r="I30" i="3"/>
  <c r="I25" i="3"/>
  <c r="I36" i="3"/>
  <c r="I18" i="3"/>
  <c r="I96" i="3"/>
  <c r="I17" i="3"/>
  <c r="I87" i="3"/>
  <c r="I83" i="3"/>
  <c r="I38" i="3"/>
  <c r="I43" i="3"/>
  <c r="I64" i="3"/>
  <c r="I55" i="3"/>
  <c r="I111" i="3"/>
  <c r="I5" i="3"/>
  <c r="I78" i="3"/>
  <c r="I101" i="3"/>
  <c r="I12" i="3"/>
  <c r="I51" i="3"/>
  <c r="I13" i="3"/>
  <c r="I63" i="3"/>
  <c r="I28" i="3"/>
  <c r="I73" i="3"/>
  <c r="I11" i="3"/>
  <c r="I10" i="3"/>
  <c r="I102" i="3"/>
  <c r="I32" i="3"/>
  <c r="I35" i="3"/>
  <c r="I98" i="3"/>
  <c r="I94" i="3"/>
  <c r="I71" i="3"/>
  <c r="I88" i="3"/>
  <c r="I70" i="3"/>
  <c r="I53" i="3"/>
  <c r="I104" i="3"/>
  <c r="I22" i="3"/>
  <c r="I77" i="3"/>
  <c r="I29" i="3"/>
  <c r="I92" i="3"/>
  <c r="I3" i="3"/>
  <c r="I75" i="3"/>
  <c r="I37" i="3"/>
  <c r="I27" i="3"/>
  <c r="I74" i="3"/>
  <c r="I99" i="3"/>
  <c r="I61" i="3"/>
  <c r="I54" i="3"/>
  <c r="I41" i="3"/>
  <c r="I45" i="3"/>
  <c r="I39" i="3"/>
  <c r="I91" i="3"/>
  <c r="I50" i="3"/>
  <c r="K71" i="3"/>
  <c r="K14" i="3"/>
  <c r="K20" i="3"/>
  <c r="K106" i="3"/>
  <c r="K97" i="3"/>
  <c r="K78" i="3"/>
  <c r="K92" i="3"/>
  <c r="K103" i="3"/>
  <c r="K70" i="3"/>
  <c r="K74" i="3"/>
  <c r="K25" i="3"/>
  <c r="K55" i="3"/>
  <c r="K93" i="3"/>
  <c r="K60" i="3"/>
  <c r="K41" i="3"/>
  <c r="K16" i="3"/>
  <c r="K62" i="3"/>
  <c r="K53" i="3"/>
  <c r="K48" i="3"/>
  <c r="K101" i="3"/>
  <c r="K102" i="3"/>
  <c r="K42" i="3"/>
  <c r="K5" i="3"/>
  <c r="K37" i="3"/>
  <c r="K59" i="3"/>
  <c r="K31" i="3"/>
  <c r="K105" i="3"/>
  <c r="K27" i="3"/>
  <c r="K17" i="3"/>
  <c r="K109" i="3"/>
  <c r="K28" i="3"/>
  <c r="K43" i="3"/>
  <c r="K34" i="3"/>
  <c r="K80" i="3"/>
  <c r="K32" i="3"/>
  <c r="K12" i="3"/>
  <c r="K23" i="3"/>
  <c r="K95" i="3"/>
  <c r="K54" i="3"/>
  <c r="K66" i="3"/>
  <c r="K9" i="3"/>
  <c r="K91" i="3"/>
  <c r="K33" i="3"/>
  <c r="K18" i="3"/>
  <c r="K64" i="3"/>
  <c r="K72" i="3"/>
  <c r="K47" i="3"/>
  <c r="K63" i="3"/>
  <c r="K100" i="3"/>
  <c r="K26" i="3"/>
  <c r="K7" i="3"/>
  <c r="K39" i="3"/>
  <c r="K98" i="3"/>
  <c r="K81" i="3"/>
  <c r="K45" i="3"/>
  <c r="K76" i="3"/>
  <c r="K73" i="3"/>
  <c r="K89" i="3"/>
  <c r="K40" i="3"/>
  <c r="K19" i="3"/>
  <c r="K85" i="3"/>
  <c r="K44" i="3"/>
  <c r="K90" i="3"/>
  <c r="K82" i="3"/>
  <c r="K49" i="3"/>
  <c r="K22" i="3"/>
  <c r="K30" i="3"/>
  <c r="K69" i="3"/>
  <c r="K77" i="3"/>
  <c r="K99" i="3"/>
  <c r="K75" i="3"/>
  <c r="K8" i="3"/>
  <c r="K21" i="3"/>
  <c r="K61" i="3"/>
  <c r="K51" i="3"/>
  <c r="K46" i="3"/>
  <c r="K15" i="3"/>
  <c r="K29" i="3"/>
  <c r="K67" i="3"/>
  <c r="K58" i="3"/>
  <c r="K104" i="3"/>
  <c r="K83" i="3"/>
  <c r="K110" i="3"/>
  <c r="K108" i="3"/>
  <c r="K107" i="3"/>
  <c r="K35" i="3"/>
  <c r="K6" i="3"/>
  <c r="K4" i="3"/>
  <c r="K79" i="3"/>
  <c r="K84" i="3"/>
  <c r="K11" i="3"/>
  <c r="K13" i="3"/>
  <c r="K38" i="3"/>
  <c r="K94" i="3"/>
  <c r="K52" i="3"/>
  <c r="K96" i="3"/>
  <c r="K65" i="3"/>
  <c r="K87" i="3"/>
  <c r="K36" i="3"/>
  <c r="K86" i="3"/>
  <c r="K88" i="3"/>
  <c r="K10" i="3"/>
  <c r="K68" i="3"/>
  <c r="K50" i="3"/>
  <c r="K57" i="3"/>
  <c r="K24" i="3"/>
  <c r="K111" i="3"/>
  <c r="K3" i="3"/>
  <c r="K56" i="3"/>
  <c r="J78" i="3"/>
  <c r="J44" i="3"/>
  <c r="J100" i="3"/>
  <c r="J81" i="3"/>
  <c r="J47" i="3"/>
  <c r="J38" i="3"/>
  <c r="J60" i="3"/>
  <c r="J104" i="3"/>
  <c r="J59" i="3"/>
  <c r="J96" i="3"/>
  <c r="J40" i="3"/>
  <c r="J62" i="3"/>
  <c r="J84" i="3"/>
  <c r="J11" i="3"/>
  <c r="J97" i="3"/>
  <c r="J105" i="3"/>
  <c r="J16" i="3"/>
  <c r="J42" i="3"/>
  <c r="J15" i="3"/>
  <c r="J103" i="3"/>
  <c r="J31" i="3"/>
  <c r="J98" i="3"/>
  <c r="J56" i="3"/>
  <c r="J102" i="3"/>
  <c r="J37" i="3"/>
  <c r="J66" i="3"/>
  <c r="J91" i="3"/>
  <c r="J36" i="3"/>
  <c r="J51" i="3"/>
  <c r="J28" i="3"/>
  <c r="J95" i="3"/>
  <c r="J77" i="3"/>
  <c r="J5" i="3"/>
  <c r="J65" i="3"/>
  <c r="J89" i="3"/>
  <c r="J55" i="3"/>
  <c r="J43" i="3"/>
  <c r="J80" i="3"/>
  <c r="J101" i="3"/>
  <c r="J35" i="3"/>
  <c r="J12" i="3"/>
  <c r="J79" i="3"/>
  <c r="J6" i="3"/>
  <c r="J83" i="3"/>
  <c r="J18" i="3"/>
  <c r="J92" i="3"/>
  <c r="J57" i="3"/>
  <c r="J94" i="3"/>
  <c r="J69" i="3"/>
  <c r="J90" i="3"/>
  <c r="J52" i="3"/>
  <c r="J88" i="3"/>
  <c r="J29" i="3"/>
  <c r="J26" i="3"/>
  <c r="J54" i="3"/>
  <c r="J20" i="3"/>
  <c r="J76" i="3"/>
  <c r="J33" i="3"/>
  <c r="J23" i="3"/>
  <c r="J25" i="3"/>
  <c r="J14" i="3"/>
  <c r="J63" i="3"/>
  <c r="J74" i="3"/>
  <c r="J48" i="3"/>
  <c r="J111" i="3"/>
  <c r="J22" i="3"/>
  <c r="J99" i="3"/>
  <c r="J73" i="3"/>
  <c r="J8" i="3"/>
  <c r="J93" i="3"/>
  <c r="J19" i="3"/>
  <c r="J7" i="3"/>
  <c r="J50" i="3"/>
  <c r="J34" i="3"/>
  <c r="J32" i="3"/>
  <c r="J49" i="3"/>
  <c r="J46" i="3"/>
  <c r="J75" i="3"/>
  <c r="J85" i="3"/>
  <c r="J87" i="3"/>
  <c r="J107" i="3"/>
  <c r="J41" i="3"/>
  <c r="J64" i="3"/>
  <c r="J86" i="3"/>
  <c r="J108" i="3"/>
  <c r="J27" i="3"/>
  <c r="J72" i="3"/>
  <c r="J4" i="3"/>
  <c r="J71" i="3"/>
  <c r="J53" i="3"/>
  <c r="J17" i="3"/>
  <c r="J3" i="3"/>
  <c r="J109" i="3"/>
  <c r="J61" i="3"/>
  <c r="J82" i="3"/>
  <c r="J106" i="3"/>
  <c r="J39" i="3"/>
  <c r="J13" i="3"/>
  <c r="J21" i="3"/>
  <c r="J10" i="3"/>
  <c r="J110" i="3"/>
  <c r="J68" i="3"/>
  <c r="J9" i="3"/>
  <c r="J70" i="3"/>
  <c r="J45" i="3"/>
  <c r="J58" i="3"/>
  <c r="J67" i="3"/>
  <c r="J30" i="3"/>
  <c r="J24" i="3"/>
  <c r="H11" i="3"/>
  <c r="H16" i="3"/>
  <c r="H84" i="3"/>
  <c r="H49" i="3"/>
  <c r="H6" i="3"/>
  <c r="H90" i="3"/>
  <c r="H39" i="3"/>
  <c r="H94" i="3"/>
  <c r="H47" i="3"/>
  <c r="H18" i="3"/>
  <c r="H4" i="3"/>
  <c r="H58" i="3"/>
  <c r="H3" i="3"/>
  <c r="H62" i="3"/>
  <c r="H78" i="3"/>
  <c r="H12" i="3"/>
  <c r="H80" i="3"/>
  <c r="H37" i="3"/>
  <c r="H10" i="3"/>
  <c r="H70" i="3"/>
  <c r="H99" i="3"/>
  <c r="H103" i="3"/>
  <c r="H111" i="3"/>
  <c r="H64" i="3"/>
  <c r="H9" i="3"/>
  <c r="H61" i="3"/>
  <c r="H44" i="3"/>
  <c r="H8" i="3"/>
  <c r="H73" i="3"/>
  <c r="H38" i="3"/>
  <c r="H76" i="3"/>
  <c r="H41" i="3"/>
  <c r="H101" i="3"/>
  <c r="H74" i="3"/>
  <c r="H23" i="3"/>
  <c r="H91" i="3"/>
  <c r="H56" i="3"/>
  <c r="H25" i="3"/>
  <c r="H89" i="3"/>
  <c r="H14" i="3"/>
  <c r="H15" i="3"/>
  <c r="H109" i="3"/>
  <c r="H21" i="3"/>
  <c r="H43" i="3"/>
  <c r="H53" i="3"/>
  <c r="H29" i="3"/>
  <c r="H105" i="3"/>
  <c r="H54" i="3"/>
  <c r="H67" i="3"/>
  <c r="H87" i="3"/>
  <c r="H52" i="3"/>
  <c r="H17" i="3"/>
  <c r="H50" i="3"/>
  <c r="H19" i="3"/>
  <c r="H33" i="3"/>
  <c r="H72" i="3"/>
  <c r="H55" i="3"/>
  <c r="H97" i="3"/>
  <c r="H32" i="3"/>
  <c r="H63" i="3"/>
  <c r="H86" i="3"/>
  <c r="H13" i="3"/>
  <c r="H48" i="3"/>
  <c r="H93" i="3"/>
  <c r="H66" i="3"/>
  <c r="H7" i="3"/>
  <c r="H59" i="3"/>
  <c r="H40" i="3"/>
  <c r="H5" i="3"/>
  <c r="H81" i="3"/>
  <c r="H107" i="3"/>
  <c r="H75" i="3"/>
  <c r="H92" i="3"/>
  <c r="H34" i="3"/>
  <c r="H82" i="3"/>
  <c r="H96" i="3"/>
  <c r="H83" i="3"/>
  <c r="H20" i="3"/>
  <c r="H30" i="3"/>
  <c r="H46" i="3"/>
  <c r="H51" i="3"/>
  <c r="H71" i="3"/>
  <c r="H36" i="3"/>
  <c r="H104" i="3"/>
  <c r="H69" i="3"/>
  <c r="H42" i="3"/>
  <c r="H60" i="3"/>
  <c r="H45" i="3"/>
  <c r="H57" i="3"/>
  <c r="H28" i="3"/>
  <c r="H68" i="3"/>
  <c r="H79" i="3"/>
  <c r="H88" i="3"/>
  <c r="H35" i="3"/>
  <c r="H110" i="3"/>
  <c r="H27" i="3"/>
  <c r="H24" i="3"/>
  <c r="H100" i="3"/>
  <c r="H65" i="3"/>
  <c r="H22" i="3"/>
  <c r="H106" i="3"/>
  <c r="H77" i="3"/>
  <c r="H102" i="3"/>
  <c r="H108" i="3"/>
  <c r="H85" i="3"/>
  <c r="H98" i="3"/>
  <c r="H95" i="3"/>
  <c r="H26" i="3"/>
  <c r="H31" i="3"/>
</calcChain>
</file>

<file path=xl/sharedStrings.xml><?xml version="1.0" encoding="utf-8"?>
<sst xmlns="http://schemas.openxmlformats.org/spreadsheetml/2006/main" count="43" uniqueCount="38">
  <si>
    <t>Germany</t>
  </si>
  <si>
    <t>France</t>
  </si>
  <si>
    <t>United Kingdom</t>
  </si>
  <si>
    <t>United States</t>
  </si>
  <si>
    <t>Date</t>
  </si>
  <si>
    <t>Credit-to-GDP Gap</t>
  </si>
  <si>
    <t>One-sided HP Filter</t>
  </si>
  <si>
    <t>lambda =</t>
  </si>
  <si>
    <t>Two-sided HP Filter</t>
  </si>
  <si>
    <t>Source: BIS credit-to-GDP gap statistics.</t>
  </si>
  <si>
    <t>About this dataset</t>
  </si>
  <si>
    <t>The hpfilter macro workbook contains two functions that calculate the one-sided and two-sided Hodrick-Prescott filters.</t>
  </si>
  <si>
    <t>HPONE(data, lambda, direction)</t>
  </si>
  <si>
    <t xml:space="preserve">   data - the input data to be transformed</t>
  </si>
  <si>
    <t xml:space="preserve">   lambda - the smoothing parameter</t>
  </si>
  <si>
    <t xml:space="preserve">   direction - specifies whether the data is oriented vertically (from top to bottom) or horizontally (from left to right)</t>
  </si>
  <si>
    <t>HPONE - The One-Sided Hodrick-Prescott Filter</t>
  </si>
  <si>
    <t>HPTWO - The Two-Sided Hodrick-Prescott Filter</t>
  </si>
  <si>
    <t>HPTWO(data, lambda, direction)</t>
  </si>
  <si>
    <t>The HP Filter Macro Workbook</t>
  </si>
  <si>
    <t>Example:</t>
  </si>
  <si>
    <t>=HPONE(A2:A10, 400000)</t>
  </si>
  <si>
    <t>=HPTWO(A2:M2, 1600, "horizontal")</t>
  </si>
  <si>
    <r>
      <t xml:space="preserve">calculates the one-sided HP filter with </t>
    </r>
    <r>
      <rPr>
        <sz val="11"/>
        <color theme="1"/>
        <rFont val="Courier New"/>
        <family val="3"/>
      </rPr>
      <t>λ</t>
    </r>
    <r>
      <rPr>
        <sz val="11"/>
        <color theme="1"/>
        <rFont val="Calibri"/>
        <family val="2"/>
      </rPr>
      <t xml:space="preserve"> = 400000 for cells A2:A10</t>
    </r>
  </si>
  <si>
    <r>
      <t xml:space="preserve">calculates the two-sided HP filter with </t>
    </r>
    <r>
      <rPr>
        <sz val="11"/>
        <color theme="1"/>
        <rFont val="Courier New"/>
        <family val="3"/>
      </rPr>
      <t>λ</t>
    </r>
    <r>
      <rPr>
        <sz val="11"/>
        <color theme="1"/>
        <rFont val="Calibri"/>
        <family val="2"/>
      </rPr>
      <t xml:space="preserve"> = 1600 for cells A2:M2</t>
    </r>
  </si>
  <si>
    <t>→</t>
  </si>
  <si>
    <t>About</t>
  </si>
  <si>
    <t>This new version has several improvements in functionality:</t>
  </si>
  <si>
    <t>3) The macro workbook can be launched easily in later versions of Office which limit the usage of the original add-on</t>
  </si>
  <si>
    <t xml:space="preserve">     to a single session.</t>
  </si>
  <si>
    <t xml:space="preserve">     left to right), by toggling a newly-implemented 'direction' option.</t>
  </si>
  <si>
    <t>This version of the HP Filter macro was written by Alexandru Monahov</t>
  </si>
  <si>
    <t>2) It allows users to process data which is structured both vertically (from top to bottom), as well as horizontally (from</t>
  </si>
  <si>
    <t>It builds upon the original filters and add-on developed by Kurt Annen</t>
  </si>
  <si>
    <t>1) It extends to the one-sided HP filter the ability to process several series at the same time. Previously, this functionality</t>
  </si>
  <si>
    <t xml:space="preserve">     was only available in the two-sided HP filter macro implementation.</t>
  </si>
  <si>
    <t>data to be transformed, then enter the function and arguments, and finally press Ctrl + Shift + Enter.</t>
  </si>
  <si>
    <t>Since this is an array formula, in Excel versions prior to 2019, users should first select an array of the same size as the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</si>
</sst>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theme="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EC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4" borderId="0" xfId="0" applyFill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2" xfId="0" applyFill="1" applyBorder="1"/>
    <xf numFmtId="0" fontId="0" fillId="2" borderId="4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1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3" borderId="2" xfId="0" applyFill="1" applyBorder="1"/>
    <xf numFmtId="0" fontId="0" fillId="13" borderId="3" xfId="0" applyFill="1" applyBorder="1"/>
    <xf numFmtId="0" fontId="0" fillId="13" borderId="4" xfId="0" applyFill="1" applyBorder="1"/>
    <xf numFmtId="0" fontId="0" fillId="0" borderId="1" xfId="0" applyBorder="1" applyAlignment="1">
      <alignment horizontal="right"/>
    </xf>
    <xf numFmtId="0" fontId="0" fillId="0" borderId="0" xfId="0" applyFill="1" applyBorder="1"/>
    <xf numFmtId="14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12" borderId="0" xfId="0" applyFill="1" applyBorder="1"/>
    <xf numFmtId="0" fontId="0" fillId="12" borderId="0" xfId="0" applyFill="1"/>
    <xf numFmtId="14" fontId="0" fillId="12" borderId="0" xfId="0" applyNumberFormat="1" applyFill="1" applyAlignment="1">
      <alignment horizontal="center"/>
    </xf>
    <xf numFmtId="0" fontId="0" fillId="7" borderId="0" xfId="0" applyFill="1"/>
    <xf numFmtId="0" fontId="1" fillId="8" borderId="0" xfId="0" applyFont="1" applyFill="1"/>
    <xf numFmtId="0" fontId="0" fillId="8" borderId="0" xfId="0" applyFill="1"/>
    <xf numFmtId="0" fontId="1" fillId="13" borderId="0" xfId="0" applyFont="1" applyFill="1"/>
    <xf numFmtId="0" fontId="0" fillId="13" borderId="0" xfId="0" applyFill="1"/>
    <xf numFmtId="0" fontId="1" fillId="9" borderId="0" xfId="0" applyFont="1" applyFill="1"/>
    <xf numFmtId="0" fontId="0" fillId="9" borderId="0" xfId="0" applyFill="1"/>
    <xf numFmtId="0" fontId="0" fillId="4" borderId="0" xfId="0" applyFont="1" applyFill="1"/>
    <xf numFmtId="0" fontId="0" fillId="13" borderId="0" xfId="0" quotePrefix="1" applyFill="1"/>
    <xf numFmtId="0" fontId="3" fillId="13" borderId="0" xfId="0" applyFont="1" applyFill="1"/>
    <xf numFmtId="0" fontId="0" fillId="13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C2G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Example!$A$3:$A$111</c:f>
              <c:numCache>
                <c:formatCode>m/d/yyyy</c:formatCode>
                <c:ptCount val="109"/>
                <c:pt idx="0">
                  <c:v>35155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</c:numCache>
            </c:numRef>
          </c:cat>
          <c:val>
            <c:numRef>
              <c:f>Example!$B$3:$B$111</c:f>
              <c:numCache>
                <c:formatCode>General</c:formatCode>
                <c:ptCount val="109"/>
                <c:pt idx="0">
                  <c:v>121.1</c:v>
                </c:pt>
                <c:pt idx="1">
                  <c:v>121.6</c:v>
                </c:pt>
                <c:pt idx="2">
                  <c:v>121.8</c:v>
                </c:pt>
                <c:pt idx="3">
                  <c:v>121.6</c:v>
                </c:pt>
                <c:pt idx="4">
                  <c:v>121.3</c:v>
                </c:pt>
                <c:pt idx="5">
                  <c:v>121.8</c:v>
                </c:pt>
                <c:pt idx="6">
                  <c:v>122.5</c:v>
                </c:pt>
                <c:pt idx="7">
                  <c:v>122.9</c:v>
                </c:pt>
                <c:pt idx="8">
                  <c:v>123.6</c:v>
                </c:pt>
                <c:pt idx="9">
                  <c:v>125.5</c:v>
                </c:pt>
                <c:pt idx="10">
                  <c:v>126.5</c:v>
                </c:pt>
                <c:pt idx="11">
                  <c:v>127.7</c:v>
                </c:pt>
                <c:pt idx="12">
                  <c:v>128.69999999999999</c:v>
                </c:pt>
                <c:pt idx="13">
                  <c:v>129.69999999999999</c:v>
                </c:pt>
                <c:pt idx="14">
                  <c:v>131.4</c:v>
                </c:pt>
                <c:pt idx="15">
                  <c:v>132.30000000000001</c:v>
                </c:pt>
                <c:pt idx="16">
                  <c:v>133.19999999999999</c:v>
                </c:pt>
                <c:pt idx="17">
                  <c:v>134.1</c:v>
                </c:pt>
                <c:pt idx="18">
                  <c:v>134.69999999999999</c:v>
                </c:pt>
                <c:pt idx="19">
                  <c:v>135.19999999999999</c:v>
                </c:pt>
                <c:pt idx="20">
                  <c:v>134.69999999999999</c:v>
                </c:pt>
                <c:pt idx="21">
                  <c:v>136.80000000000001</c:v>
                </c:pt>
                <c:pt idx="22">
                  <c:v>138.9</c:v>
                </c:pt>
                <c:pt idx="23">
                  <c:v>139.80000000000001</c:v>
                </c:pt>
                <c:pt idx="24">
                  <c:v>140.4</c:v>
                </c:pt>
                <c:pt idx="25">
                  <c:v>141.5</c:v>
                </c:pt>
                <c:pt idx="26">
                  <c:v>142.5</c:v>
                </c:pt>
                <c:pt idx="27">
                  <c:v>143.9</c:v>
                </c:pt>
                <c:pt idx="28">
                  <c:v>144.4</c:v>
                </c:pt>
                <c:pt idx="29">
                  <c:v>146.80000000000001</c:v>
                </c:pt>
                <c:pt idx="30">
                  <c:v>147.5</c:v>
                </c:pt>
                <c:pt idx="31">
                  <c:v>147.6</c:v>
                </c:pt>
                <c:pt idx="32">
                  <c:v>147.9</c:v>
                </c:pt>
                <c:pt idx="33">
                  <c:v>148.80000000000001</c:v>
                </c:pt>
                <c:pt idx="34">
                  <c:v>149.69999999999999</c:v>
                </c:pt>
                <c:pt idx="35">
                  <c:v>151.19999999999999</c:v>
                </c:pt>
                <c:pt idx="36">
                  <c:v>151.30000000000001</c:v>
                </c:pt>
                <c:pt idx="37">
                  <c:v>152.80000000000001</c:v>
                </c:pt>
                <c:pt idx="38">
                  <c:v>154.1</c:v>
                </c:pt>
                <c:pt idx="39">
                  <c:v>155.5</c:v>
                </c:pt>
                <c:pt idx="40">
                  <c:v>157.1</c:v>
                </c:pt>
                <c:pt idx="41">
                  <c:v>159</c:v>
                </c:pt>
                <c:pt idx="42">
                  <c:v>160.4</c:v>
                </c:pt>
                <c:pt idx="43">
                  <c:v>162.1</c:v>
                </c:pt>
                <c:pt idx="44">
                  <c:v>163.19999999999999</c:v>
                </c:pt>
                <c:pt idx="45">
                  <c:v>165.7</c:v>
                </c:pt>
                <c:pt idx="46">
                  <c:v>167.5</c:v>
                </c:pt>
                <c:pt idx="47">
                  <c:v>168.8</c:v>
                </c:pt>
                <c:pt idx="48">
                  <c:v>169.5</c:v>
                </c:pt>
                <c:pt idx="49">
                  <c:v>169.3</c:v>
                </c:pt>
                <c:pt idx="50">
                  <c:v>169.9</c:v>
                </c:pt>
                <c:pt idx="51">
                  <c:v>168.7</c:v>
                </c:pt>
                <c:pt idx="52">
                  <c:v>168.1</c:v>
                </c:pt>
                <c:pt idx="53">
                  <c:v>168.8</c:v>
                </c:pt>
                <c:pt idx="54">
                  <c:v>169</c:v>
                </c:pt>
                <c:pt idx="55">
                  <c:v>167.4</c:v>
                </c:pt>
                <c:pt idx="56">
                  <c:v>165.5</c:v>
                </c:pt>
                <c:pt idx="57">
                  <c:v>162.9</c:v>
                </c:pt>
                <c:pt idx="58">
                  <c:v>160.80000000000001</c:v>
                </c:pt>
                <c:pt idx="59">
                  <c:v>158.6</c:v>
                </c:pt>
                <c:pt idx="60">
                  <c:v>156.9</c:v>
                </c:pt>
                <c:pt idx="61">
                  <c:v>155.4</c:v>
                </c:pt>
                <c:pt idx="62">
                  <c:v>154.6</c:v>
                </c:pt>
                <c:pt idx="63">
                  <c:v>153.80000000000001</c:v>
                </c:pt>
                <c:pt idx="64">
                  <c:v>152.19999999999999</c:v>
                </c:pt>
                <c:pt idx="65">
                  <c:v>151.1</c:v>
                </c:pt>
                <c:pt idx="66">
                  <c:v>150.69999999999999</c:v>
                </c:pt>
                <c:pt idx="67">
                  <c:v>150.30000000000001</c:v>
                </c:pt>
                <c:pt idx="68">
                  <c:v>149.19999999999999</c:v>
                </c:pt>
                <c:pt idx="69">
                  <c:v>149.19999999999999</c:v>
                </c:pt>
                <c:pt idx="70">
                  <c:v>149.30000000000001</c:v>
                </c:pt>
                <c:pt idx="71">
                  <c:v>149.4</c:v>
                </c:pt>
                <c:pt idx="72">
                  <c:v>149.30000000000001</c:v>
                </c:pt>
                <c:pt idx="73">
                  <c:v>149</c:v>
                </c:pt>
                <c:pt idx="74">
                  <c:v>148.19999999999999</c:v>
                </c:pt>
                <c:pt idx="75">
                  <c:v>148.4</c:v>
                </c:pt>
                <c:pt idx="76">
                  <c:v>147.69999999999999</c:v>
                </c:pt>
                <c:pt idx="77">
                  <c:v>148.4</c:v>
                </c:pt>
                <c:pt idx="78">
                  <c:v>148.80000000000001</c:v>
                </c:pt>
                <c:pt idx="79">
                  <c:v>148.69999999999999</c:v>
                </c:pt>
                <c:pt idx="80">
                  <c:v>149.30000000000001</c:v>
                </c:pt>
                <c:pt idx="81">
                  <c:v>150</c:v>
                </c:pt>
                <c:pt idx="82">
                  <c:v>151.1</c:v>
                </c:pt>
                <c:pt idx="83">
                  <c:v>150.6</c:v>
                </c:pt>
                <c:pt idx="84">
                  <c:v>150.9</c:v>
                </c:pt>
                <c:pt idx="85">
                  <c:v>151.6</c:v>
                </c:pt>
                <c:pt idx="86">
                  <c:v>151.6</c:v>
                </c:pt>
                <c:pt idx="87">
                  <c:v>152.30000000000001</c:v>
                </c:pt>
                <c:pt idx="88">
                  <c:v>151.5</c:v>
                </c:pt>
                <c:pt idx="89">
                  <c:v>152.19999999999999</c:v>
                </c:pt>
                <c:pt idx="90">
                  <c:v>151.6</c:v>
                </c:pt>
                <c:pt idx="91">
                  <c:v>151.6</c:v>
                </c:pt>
                <c:pt idx="92">
                  <c:v>151.4</c:v>
                </c:pt>
                <c:pt idx="93">
                  <c:v>151.6</c:v>
                </c:pt>
                <c:pt idx="94">
                  <c:v>151.69999999999999</c:v>
                </c:pt>
                <c:pt idx="95">
                  <c:v>151.4</c:v>
                </c:pt>
                <c:pt idx="96">
                  <c:v>154.6</c:v>
                </c:pt>
                <c:pt idx="97">
                  <c:v>160.69999999999999</c:v>
                </c:pt>
                <c:pt idx="98">
                  <c:v>162.1</c:v>
                </c:pt>
                <c:pt idx="99">
                  <c:v>163.6</c:v>
                </c:pt>
                <c:pt idx="100">
                  <c:v>164.2</c:v>
                </c:pt>
                <c:pt idx="101">
                  <c:v>159.69999999999999</c:v>
                </c:pt>
                <c:pt idx="102">
                  <c:v>158.19999999999999</c:v>
                </c:pt>
                <c:pt idx="103">
                  <c:v>156.9</c:v>
                </c:pt>
                <c:pt idx="104">
                  <c:v>155.80000000000001</c:v>
                </c:pt>
                <c:pt idx="105">
                  <c:v>155</c:v>
                </c:pt>
                <c:pt idx="106">
                  <c:v>153.5</c:v>
                </c:pt>
                <c:pt idx="107">
                  <c:v>152.5</c:v>
                </c:pt>
                <c:pt idx="108">
                  <c:v>150.80000000000001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6-4BCC-911F-A88675481A8B}"/>
            </c:ext>
          </c:extLst>
        </c:ser>
        <c:ser>
          <c:idx val="1"/>
          <c:order val="1"/>
          <c:tx>
            <c:v>HP1_1600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Example!$A$3:$A$111</c:f>
              <c:numCache>
                <c:formatCode>m/d/yyyy</c:formatCode>
                <c:ptCount val="109"/>
                <c:pt idx="0">
                  <c:v>35155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</c:numCache>
            </c:numRef>
          </c:cat>
          <c:val>
            <c:numRef>
              <c:f>Example!$H$3:$H$111</c:f>
              <c:numCache>
                <c:formatCode>General</c:formatCode>
                <c:ptCount val="109"/>
                <c:pt idx="0">
                  <c:v>109</c:v>
                </c:pt>
                <c:pt idx="1">
                  <c:v>109.7</c:v>
                </c:pt>
                <c:pt idx="2">
                  <c:v>109.5</c:v>
                </c:pt>
                <c:pt idx="3">
                  <c:v>108.91986754146143</c:v>
                </c:pt>
                <c:pt idx="4">
                  <c:v>108.29967276073432</c:v>
                </c:pt>
                <c:pt idx="5">
                  <c:v>108.93384322421313</c:v>
                </c:pt>
                <c:pt idx="6">
                  <c:v>110.32845150214214</c:v>
                </c:pt>
                <c:pt idx="7">
                  <c:v>111.18941229748216</c:v>
                </c:pt>
                <c:pt idx="8">
                  <c:v>112.31326325020974</c:v>
                </c:pt>
                <c:pt idx="9">
                  <c:v>113.62856460191924</c:v>
                </c:pt>
                <c:pt idx="10">
                  <c:v>115.70965369190112</c:v>
                </c:pt>
                <c:pt idx="11">
                  <c:v>117.57843370759882</c:v>
                </c:pt>
                <c:pt idx="12">
                  <c:v>119.69326305951212</c:v>
                </c:pt>
                <c:pt idx="13">
                  <c:v>122.01080987879183</c:v>
                </c:pt>
                <c:pt idx="14">
                  <c:v>124.04474202370545</c:v>
                </c:pt>
                <c:pt idx="15">
                  <c:v>126.03263971340922</c:v>
                </c:pt>
                <c:pt idx="16">
                  <c:v>127.93716975781706</c:v>
                </c:pt>
                <c:pt idx="17">
                  <c:v>130.16154151004156</c:v>
                </c:pt>
                <c:pt idx="18">
                  <c:v>132.31295783821395</c:v>
                </c:pt>
                <c:pt idx="19">
                  <c:v>134.25144447185306</c:v>
                </c:pt>
                <c:pt idx="20">
                  <c:v>136.56264070535417</c:v>
                </c:pt>
                <c:pt idx="21">
                  <c:v>138.62377405726915</c:v>
                </c:pt>
                <c:pt idx="22">
                  <c:v>140.5715631901588</c:v>
                </c:pt>
                <c:pt idx="23">
                  <c:v>142.66588544417669</c:v>
                </c:pt>
                <c:pt idx="24">
                  <c:v>144.78498628093473</c:v>
                </c:pt>
                <c:pt idx="25">
                  <c:v>147.00490607305693</c:v>
                </c:pt>
                <c:pt idx="26">
                  <c:v>149.89696337471571</c:v>
                </c:pt>
                <c:pt idx="27">
                  <c:v>152.27121923347477</c:v>
                </c:pt>
                <c:pt idx="28">
                  <c:v>153.69652906093657</c:v>
                </c:pt>
                <c:pt idx="29">
                  <c:v>155.24240657160561</c:v>
                </c:pt>
                <c:pt idx="30">
                  <c:v>156.53957219827757</c:v>
                </c:pt>
                <c:pt idx="31">
                  <c:v>157.49967983948414</c:v>
                </c:pt>
                <c:pt idx="32">
                  <c:v>158.12647868943333</c:v>
                </c:pt>
                <c:pt idx="33">
                  <c:v>158.60653078618006</c:v>
                </c:pt>
                <c:pt idx="34">
                  <c:v>159.38888238323551</c:v>
                </c:pt>
                <c:pt idx="35">
                  <c:v>160.15024717383596</c:v>
                </c:pt>
                <c:pt idx="36">
                  <c:v>160.83997265231017</c:v>
                </c:pt>
                <c:pt idx="37">
                  <c:v>162.07474508678666</c:v>
                </c:pt>
                <c:pt idx="38">
                  <c:v>163.41903928825221</c:v>
                </c:pt>
                <c:pt idx="39">
                  <c:v>164.76072922031582</c:v>
                </c:pt>
                <c:pt idx="40">
                  <c:v>166.01913883114744</c:v>
                </c:pt>
                <c:pt idx="41">
                  <c:v>167.5039458508995</c:v>
                </c:pt>
                <c:pt idx="42">
                  <c:v>169.3707434845978</c:v>
                </c:pt>
                <c:pt idx="43">
                  <c:v>170.93289993146794</c:v>
                </c:pt>
                <c:pt idx="44">
                  <c:v>171.89788928129664</c:v>
                </c:pt>
                <c:pt idx="45">
                  <c:v>172.75171821976869</c:v>
                </c:pt>
                <c:pt idx="46">
                  <c:v>174.05261834634169</c:v>
                </c:pt>
                <c:pt idx="47">
                  <c:v>175.37445524540092</c:v>
                </c:pt>
                <c:pt idx="48">
                  <c:v>177.035700597806</c:v>
                </c:pt>
                <c:pt idx="49">
                  <c:v>178.29618325698365</c:v>
                </c:pt>
                <c:pt idx="50">
                  <c:v>179.43763166751936</c:v>
                </c:pt>
                <c:pt idx="51">
                  <c:v>181.55710502672386</c:v>
                </c:pt>
                <c:pt idx="52">
                  <c:v>183.24374639420319</c:v>
                </c:pt>
                <c:pt idx="53">
                  <c:v>183.93605292532865</c:v>
                </c:pt>
                <c:pt idx="54">
                  <c:v>185.16595447438317</c:v>
                </c:pt>
                <c:pt idx="55">
                  <c:v>186.09866301745353</c:v>
                </c:pt>
                <c:pt idx="56">
                  <c:v>186.98907810130504</c:v>
                </c:pt>
                <c:pt idx="57">
                  <c:v>186.84311115690397</c:v>
                </c:pt>
                <c:pt idx="58">
                  <c:v>186.48218179606198</c:v>
                </c:pt>
                <c:pt idx="59">
                  <c:v>185.12177559364432</c:v>
                </c:pt>
                <c:pt idx="60">
                  <c:v>183.56958646907012</c:v>
                </c:pt>
                <c:pt idx="61">
                  <c:v>182.03015953456614</c:v>
                </c:pt>
                <c:pt idx="62">
                  <c:v>180.42389098922166</c:v>
                </c:pt>
                <c:pt idx="63">
                  <c:v>178.67745991731061</c:v>
                </c:pt>
                <c:pt idx="64">
                  <c:v>177.5865998629962</c:v>
                </c:pt>
                <c:pt idx="65">
                  <c:v>176.81484854906756</c:v>
                </c:pt>
                <c:pt idx="66">
                  <c:v>176.17513008034376</c:v>
                </c:pt>
                <c:pt idx="67">
                  <c:v>175.15610821675443</c:v>
                </c:pt>
                <c:pt idx="68">
                  <c:v>173.76287455513616</c:v>
                </c:pt>
                <c:pt idx="69">
                  <c:v>172.80561927733277</c:v>
                </c:pt>
                <c:pt idx="70">
                  <c:v>171.48301082470795</c:v>
                </c:pt>
                <c:pt idx="71">
                  <c:v>169.89993664128332</c:v>
                </c:pt>
                <c:pt idx="72">
                  <c:v>167.97227564555544</c:v>
                </c:pt>
                <c:pt idx="73">
                  <c:v>165.9279030129461</c:v>
                </c:pt>
                <c:pt idx="74">
                  <c:v>163.97171851593748</c:v>
                </c:pt>
                <c:pt idx="75">
                  <c:v>162.04500677497953</c:v>
                </c:pt>
                <c:pt idx="76">
                  <c:v>160.53468725753081</c:v>
                </c:pt>
                <c:pt idx="77">
                  <c:v>158.57990571715422</c:v>
                </c:pt>
                <c:pt idx="78">
                  <c:v>156.9951401138816</c:v>
                </c:pt>
                <c:pt idx="79">
                  <c:v>155.72602048784483</c:v>
                </c:pt>
                <c:pt idx="80">
                  <c:v>154.84012397042594</c:v>
                </c:pt>
                <c:pt idx="81">
                  <c:v>154.81525305666696</c:v>
                </c:pt>
                <c:pt idx="82">
                  <c:v>155.33019707524809</c:v>
                </c:pt>
                <c:pt idx="83">
                  <c:v>155.7706215927104</c:v>
                </c:pt>
                <c:pt idx="84">
                  <c:v>156.36888291815768</c:v>
                </c:pt>
                <c:pt idx="85">
                  <c:v>156.71230795132908</c:v>
                </c:pt>
                <c:pt idx="86">
                  <c:v>157.23643843238779</c:v>
                </c:pt>
                <c:pt idx="87">
                  <c:v>157.91119924635078</c:v>
                </c:pt>
                <c:pt idx="88">
                  <c:v>158.08745573049197</c:v>
                </c:pt>
                <c:pt idx="89">
                  <c:v>158.11066882771726</c:v>
                </c:pt>
                <c:pt idx="90">
                  <c:v>157.85274178461282</c:v>
                </c:pt>
                <c:pt idx="91">
                  <c:v>157.50274003893784</c:v>
                </c:pt>
                <c:pt idx="92">
                  <c:v>156.65013821096139</c:v>
                </c:pt>
                <c:pt idx="93">
                  <c:v>156.2145975989699</c:v>
                </c:pt>
                <c:pt idx="94">
                  <c:v>156.11562769545677</c:v>
                </c:pt>
                <c:pt idx="95">
                  <c:v>155.71532954256983</c:v>
                </c:pt>
                <c:pt idx="96">
                  <c:v>155.96764288050673</c:v>
                </c:pt>
                <c:pt idx="97">
                  <c:v>158.00420320805623</c:v>
                </c:pt>
                <c:pt idx="98">
                  <c:v>160.41724921202839</c:v>
                </c:pt>
                <c:pt idx="99">
                  <c:v>163.26249291590463</c:v>
                </c:pt>
                <c:pt idx="100">
                  <c:v>166.20716700729668</c:v>
                </c:pt>
                <c:pt idx="101">
                  <c:v>167.73056846991841</c:v>
                </c:pt>
                <c:pt idx="102">
                  <c:v>168.34851162305841</c:v>
                </c:pt>
                <c:pt idx="103">
                  <c:v>168.03468061853044</c:v>
                </c:pt>
                <c:pt idx="104">
                  <c:v>166.45456358449297</c:v>
                </c:pt>
                <c:pt idx="105">
                  <c:v>164.42292505693618</c:v>
                </c:pt>
                <c:pt idx="106">
                  <c:v>162.41425780078077</c:v>
                </c:pt>
                <c:pt idx="107">
                  <c:v>160.17019330571469</c:v>
                </c:pt>
                <c:pt idx="108">
                  <c:v>157.71887129917641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6-4BCC-911F-A88675481A8B}"/>
            </c:ext>
          </c:extLst>
        </c:ser>
        <c:ser>
          <c:idx val="2"/>
          <c:order val="2"/>
          <c:tx>
            <c:v>HP1_400K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Example!$A$3:$A$111</c:f>
              <c:numCache>
                <c:formatCode>m/d/yyyy</c:formatCode>
                <c:ptCount val="109"/>
                <c:pt idx="0">
                  <c:v>35155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</c:numCache>
            </c:numRef>
          </c:cat>
          <c:val>
            <c:numRef>
              <c:f>Example!$I$3:$I$111</c:f>
              <c:numCache>
                <c:formatCode>General</c:formatCode>
                <c:ptCount val="109"/>
                <c:pt idx="0">
                  <c:v>109</c:v>
                </c:pt>
                <c:pt idx="1">
                  <c:v>109.7</c:v>
                </c:pt>
                <c:pt idx="2">
                  <c:v>109.5</c:v>
                </c:pt>
                <c:pt idx="3">
                  <c:v>108.9199994675767</c:v>
                </c:pt>
                <c:pt idx="4">
                  <c:v>108.29999868603662</c:v>
                </c:pt>
                <c:pt idx="5">
                  <c:v>108.93333537313978</c:v>
                </c:pt>
                <c:pt idx="6">
                  <c:v>110.32501384267299</c:v>
                </c:pt>
                <c:pt idx="7">
                  <c:v>111.18335777177046</c:v>
                </c:pt>
                <c:pt idx="8">
                  <c:v>112.30226674747487</c:v>
                </c:pt>
                <c:pt idx="9">
                  <c:v>113.60916978139367</c:v>
                </c:pt>
                <c:pt idx="10">
                  <c:v>115.6683506785824</c:v>
                </c:pt>
                <c:pt idx="11">
                  <c:v>117.51308969897406</c:v>
                </c:pt>
                <c:pt idx="12">
                  <c:v>119.59163150017726</c:v>
                </c:pt>
                <c:pt idx="13">
                  <c:v>121.85778694783394</c:v>
                </c:pt>
                <c:pt idx="14">
                  <c:v>123.84585017319131</c:v>
                </c:pt>
                <c:pt idx="15">
                  <c:v>125.78563475068955</c:v>
                </c:pt>
                <c:pt idx="16">
                  <c:v>127.64444174811091</c:v>
                </c:pt>
                <c:pt idx="17">
                  <c:v>129.78825495051888</c:v>
                </c:pt>
                <c:pt idx="18">
                  <c:v>131.86054914134135</c:v>
                </c:pt>
                <c:pt idx="19">
                  <c:v>133.74532366220839</c:v>
                </c:pt>
                <c:pt idx="20">
                  <c:v>135.941664593562</c:v>
                </c:pt>
                <c:pt idx="21">
                  <c:v>137.92935443073597</c:v>
                </c:pt>
                <c:pt idx="22">
                  <c:v>139.82803499632431</c:v>
                </c:pt>
                <c:pt idx="23">
                  <c:v>141.84147804329751</c:v>
                </c:pt>
                <c:pt idx="24">
                  <c:v>143.87423086971137</c:v>
                </c:pt>
                <c:pt idx="25">
                  <c:v>145.98103712879632</c:v>
                </c:pt>
                <c:pt idx="26">
                  <c:v>148.55754278746753</c:v>
                </c:pt>
                <c:pt idx="27">
                  <c:v>150.78394609694129</c:v>
                </c:pt>
                <c:pt idx="28">
                  <c:v>152.39589799181113</c:v>
                </c:pt>
                <c:pt idx="29">
                  <c:v>154.09275737419921</c:v>
                </c:pt>
                <c:pt idx="30">
                  <c:v>155.64042074931524</c:v>
                </c:pt>
                <c:pt idx="31">
                  <c:v>156.98701014533478</c:v>
                </c:pt>
                <c:pt idx="32">
                  <c:v>158.13553823245414</c:v>
                </c:pt>
                <c:pt idx="33">
                  <c:v>159.19063674727133</c:v>
                </c:pt>
                <c:pt idx="34">
                  <c:v>160.39587022275072</c:v>
                </c:pt>
                <c:pt idx="35">
                  <c:v>161.57228314473548</c:v>
                </c:pt>
                <c:pt idx="36">
                  <c:v>162.69194837579906</c:v>
                </c:pt>
                <c:pt idx="37">
                  <c:v>164.06844840993966</c:v>
                </c:pt>
                <c:pt idx="38">
                  <c:v>165.48389934152746</c:v>
                </c:pt>
                <c:pt idx="39">
                  <c:v>166.88538944455618</c:v>
                </c:pt>
                <c:pt idx="40">
                  <c:v>168.23623280948033</c:v>
                </c:pt>
                <c:pt idx="41">
                  <c:v>169.68178388617338</c:v>
                </c:pt>
                <c:pt idx="42">
                  <c:v>171.29508256289614</c:v>
                </c:pt>
                <c:pt idx="43">
                  <c:v>172.77314542408593</c:v>
                </c:pt>
                <c:pt idx="44">
                  <c:v>173.98808260181224</c:v>
                </c:pt>
                <c:pt idx="45">
                  <c:v>175.1450690327608</c:v>
                </c:pt>
                <c:pt idx="46">
                  <c:v>176.47777475543779</c:v>
                </c:pt>
                <c:pt idx="47">
                  <c:v>177.81306497291203</c:v>
                </c:pt>
                <c:pt idx="48">
                  <c:v>179.28135174259893</c:v>
                </c:pt>
                <c:pt idx="49">
                  <c:v>180.59073709019322</c:v>
                </c:pt>
                <c:pt idx="50">
                  <c:v>181.84886721232661</c:v>
                </c:pt>
                <c:pt idx="51">
                  <c:v>183.47922751334755</c:v>
                </c:pt>
                <c:pt idx="52">
                  <c:v>184.95592484526301</c:v>
                </c:pt>
                <c:pt idx="53">
                  <c:v>186.06465315580633</c:v>
                </c:pt>
                <c:pt idx="54">
                  <c:v>187.35970522936788</c:v>
                </c:pt>
                <c:pt idx="55">
                  <c:v>188.54219663895643</c:v>
                </c:pt>
                <c:pt idx="56">
                  <c:v>189.69952342967952</c:v>
                </c:pt>
                <c:pt idx="57">
                  <c:v>190.47725225184726</c:v>
                </c:pt>
                <c:pt idx="58">
                  <c:v>191.14726729576824</c:v>
                </c:pt>
                <c:pt idx="59">
                  <c:v>191.43191125143875</c:v>
                </c:pt>
                <c:pt idx="60">
                  <c:v>191.58956506086</c:v>
                </c:pt>
                <c:pt idx="61">
                  <c:v>191.68262197576919</c:v>
                </c:pt>
                <c:pt idx="62">
                  <c:v>191.68159804742356</c:v>
                </c:pt>
                <c:pt idx="63">
                  <c:v>191.55906522420892</c:v>
                </c:pt>
                <c:pt idx="64">
                  <c:v>191.57203647535806</c:v>
                </c:pt>
                <c:pt idx="65">
                  <c:v>191.62166386805083</c:v>
                </c:pt>
                <c:pt idx="66">
                  <c:v>191.65439669646253</c:v>
                </c:pt>
                <c:pt idx="67">
                  <c:v>191.51158522438138</c:v>
                </c:pt>
                <c:pt idx="68">
                  <c:v>191.19017809067267</c:v>
                </c:pt>
                <c:pt idx="69">
                  <c:v>190.93834240098695</c:v>
                </c:pt>
                <c:pt idx="70">
                  <c:v>190.51594656431936</c:v>
                </c:pt>
                <c:pt idx="71">
                  <c:v>189.95034138422702</c:v>
                </c:pt>
                <c:pt idx="72">
                  <c:v>189.21201463046464</c:v>
                </c:pt>
                <c:pt idx="73">
                  <c:v>188.36440732395559</c:v>
                </c:pt>
                <c:pt idx="74">
                  <c:v>187.467429507124</c:v>
                </c:pt>
                <c:pt idx="75">
                  <c:v>186.50561811858344</c:v>
                </c:pt>
                <c:pt idx="76">
                  <c:v>185.59577373598412</c:v>
                </c:pt>
                <c:pt idx="77">
                  <c:v>184.4922828643254</c:v>
                </c:pt>
                <c:pt idx="78">
                  <c:v>183.42851934447361</c:v>
                </c:pt>
                <c:pt idx="79">
                  <c:v>182.39726581204422</c:v>
                </c:pt>
                <c:pt idx="80">
                  <c:v>181.42677242761965</c:v>
                </c:pt>
                <c:pt idx="81">
                  <c:v>180.66626400678803</c:v>
                </c:pt>
                <c:pt idx="82">
                  <c:v>180.04381204398229</c:v>
                </c:pt>
                <c:pt idx="83">
                  <c:v>179.39840104995355</c:v>
                </c:pt>
                <c:pt idx="84">
                  <c:v>178.80023544096881</c:v>
                </c:pt>
                <c:pt idx="85">
                  <c:v>178.13899936531305</c:v>
                </c:pt>
                <c:pt idx="86">
                  <c:v>177.53727092990658</c:v>
                </c:pt>
                <c:pt idx="87">
                  <c:v>176.99317816342673</c:v>
                </c:pt>
                <c:pt idx="88">
                  <c:v>176.32913604597854</c:v>
                </c:pt>
                <c:pt idx="89">
                  <c:v>175.63463765109086</c:v>
                </c:pt>
                <c:pt idx="90">
                  <c:v>174.87167082827514</c:v>
                </c:pt>
                <c:pt idx="91">
                  <c:v>174.08804002416423</c:v>
                </c:pt>
                <c:pt idx="92">
                  <c:v>173.16703884595401</c:v>
                </c:pt>
                <c:pt idx="93">
                  <c:v>172.35459288938108</c:v>
                </c:pt>
                <c:pt idx="94">
                  <c:v>171.6363612787286</c:v>
                </c:pt>
                <c:pt idx="95">
                  <c:v>170.84232895465078</c:v>
                </c:pt>
                <c:pt idx="96">
                  <c:v>170.23152785512943</c:v>
                </c:pt>
                <c:pt idx="97">
                  <c:v>170.13195688521307</c:v>
                </c:pt>
                <c:pt idx="98">
                  <c:v>170.19445816392886</c:v>
                </c:pt>
                <c:pt idx="99">
                  <c:v>170.44720477347732</c:v>
                </c:pt>
                <c:pt idx="100">
                  <c:v>170.81222310051689</c:v>
                </c:pt>
                <c:pt idx="101">
                  <c:v>170.8767411507215</c:v>
                </c:pt>
                <c:pt idx="102">
                  <c:v>170.75487365010554</c:v>
                </c:pt>
                <c:pt idx="103">
                  <c:v>170.41926880611783</c:v>
                </c:pt>
                <c:pt idx="104">
                  <c:v>169.75529996866032</c:v>
                </c:pt>
                <c:pt idx="105">
                  <c:v>168.95495473068007</c:v>
                </c:pt>
                <c:pt idx="106">
                  <c:v>168.13287241311298</c:v>
                </c:pt>
                <c:pt idx="107">
                  <c:v>167.21321966044002</c:v>
                </c:pt>
                <c:pt idx="108">
                  <c:v>166.19393443800931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56-4BCC-911F-A88675481A8B}"/>
            </c:ext>
          </c:extLst>
        </c:ser>
        <c:ser>
          <c:idx val="3"/>
          <c:order val="3"/>
          <c:tx>
            <c:v>HP2_1600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Example!$A$3:$A$111</c:f>
              <c:numCache>
                <c:formatCode>m/d/yyyy</c:formatCode>
                <c:ptCount val="109"/>
                <c:pt idx="0">
                  <c:v>35155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</c:numCache>
            </c:numRef>
          </c:cat>
          <c:val>
            <c:numRef>
              <c:f>Example!$J$3:$J$111</c:f>
              <c:numCache>
                <c:formatCode>General</c:formatCode>
                <c:ptCount val="109"/>
                <c:pt idx="0">
                  <c:v>104.36988658937454</c:v>
                </c:pt>
                <c:pt idx="1">
                  <c:v>105.83589461875607</c:v>
                </c:pt>
                <c:pt idx="2">
                  <c:v>107.30479646901924</c:v>
                </c:pt>
                <c:pt idx="3">
                  <c:v>108.78190102690895</c:v>
                </c:pt>
                <c:pt idx="4">
                  <c:v>110.27388918137699</c:v>
                </c:pt>
                <c:pt idx="5">
                  <c:v>111.78726563323328</c:v>
                </c:pt>
                <c:pt idx="6">
                  <c:v>113.32711390254939</c:v>
                </c:pt>
                <c:pt idx="7">
                  <c:v>114.89727546837612</c:v>
                </c:pt>
                <c:pt idx="8">
                  <c:v>116.50076236357521</c:v>
                </c:pt>
                <c:pt idx="9">
                  <c:v>118.1387758238406</c:v>
                </c:pt>
                <c:pt idx="10">
                  <c:v>119.81064160838905</c:v>
                </c:pt>
                <c:pt idx="11">
                  <c:v>121.51378624154735</c:v>
                </c:pt>
                <c:pt idx="12">
                  <c:v>123.24494209663706</c:v>
                </c:pt>
                <c:pt idx="13">
                  <c:v>124.99983293057875</c:v>
                </c:pt>
                <c:pt idx="14">
                  <c:v>126.77371691148257</c:v>
                </c:pt>
                <c:pt idx="15">
                  <c:v>128.56197731187709</c:v>
                </c:pt>
                <c:pt idx="16">
                  <c:v>130.35963883122119</c:v>
                </c:pt>
                <c:pt idx="17">
                  <c:v>132.16131243315385</c:v>
                </c:pt>
                <c:pt idx="18">
                  <c:v>133.96100930704449</c:v>
                </c:pt>
                <c:pt idx="19">
                  <c:v>135.7530148219918</c:v>
                </c:pt>
                <c:pt idx="20">
                  <c:v>137.53182621627752</c:v>
                </c:pt>
                <c:pt idx="21">
                  <c:v>139.29165759391969</c:v>
                </c:pt>
                <c:pt idx="22">
                  <c:v>141.02757816755118</c:v>
                </c:pt>
                <c:pt idx="23">
                  <c:v>142.73497486380865</c:v>
                </c:pt>
                <c:pt idx="24">
                  <c:v>144.40934237297404</c:v>
                </c:pt>
                <c:pt idx="25">
                  <c:v>146.04684102603946</c:v>
                </c:pt>
                <c:pt idx="26">
                  <c:v>147.64456281501387</c:v>
                </c:pt>
                <c:pt idx="27">
                  <c:v>149.201070456265</c:v>
                </c:pt>
                <c:pt idx="28">
                  <c:v>150.7187738144012</c:v>
                </c:pt>
                <c:pt idx="29">
                  <c:v>152.20289458499562</c:v>
                </c:pt>
                <c:pt idx="30">
                  <c:v>153.65895522998744</c:v>
                </c:pt>
                <c:pt idx="31">
                  <c:v>155.09328890220021</c:v>
                </c:pt>
                <c:pt idx="32">
                  <c:v>156.51244190743876</c:v>
                </c:pt>
                <c:pt idx="33">
                  <c:v>157.92221474594402</c:v>
                </c:pt>
                <c:pt idx="34">
                  <c:v>159.32658764176477</c:v>
                </c:pt>
                <c:pt idx="35">
                  <c:v>160.72708943473356</c:v>
                </c:pt>
                <c:pt idx="36">
                  <c:v>162.12348234740682</c:v>
                </c:pt>
                <c:pt idx="37">
                  <c:v>163.51351167144426</c:v>
                </c:pt>
                <c:pt idx="38">
                  <c:v>164.89247052203848</c:v>
                </c:pt>
                <c:pt idx="39">
                  <c:v>166.25464356958742</c:v>
                </c:pt>
                <c:pt idx="40">
                  <c:v>167.59357019041275</c:v>
                </c:pt>
                <c:pt idx="41">
                  <c:v>168.90200560860518</c:v>
                </c:pt>
                <c:pt idx="42">
                  <c:v>170.17164656688644</c:v>
                </c:pt>
                <c:pt idx="43">
                  <c:v>171.39381355447284</c:v>
                </c:pt>
                <c:pt idx="44">
                  <c:v>172.56071978147642</c:v>
                </c:pt>
                <c:pt idx="45">
                  <c:v>173.66476982453767</c:v>
                </c:pt>
                <c:pt idx="46">
                  <c:v>174.69689281043367</c:v>
                </c:pt>
                <c:pt idx="47">
                  <c:v>175.64622738480116</c:v>
                </c:pt>
                <c:pt idx="48">
                  <c:v>176.50153913527038</c:v>
                </c:pt>
                <c:pt idx="49">
                  <c:v>177.25150225735601</c:v>
                </c:pt>
                <c:pt idx="50">
                  <c:v>177.88603998461321</c:v>
                </c:pt>
                <c:pt idx="51">
                  <c:v>178.39554336168626</c:v>
                </c:pt>
                <c:pt idx="52">
                  <c:v>178.77091215822912</c:v>
                </c:pt>
                <c:pt idx="53">
                  <c:v>179.00704892929465</c:v>
                </c:pt>
                <c:pt idx="54">
                  <c:v>179.10237440983693</c:v>
                </c:pt>
                <c:pt idx="55">
                  <c:v>179.05655492922912</c:v>
                </c:pt>
                <c:pt idx="56">
                  <c:v>178.87275533283832</c:v>
                </c:pt>
                <c:pt idx="57">
                  <c:v>178.55754261920083</c:v>
                </c:pt>
                <c:pt idx="58">
                  <c:v>178.12156331476996</c:v>
                </c:pt>
                <c:pt idx="59">
                  <c:v>177.57717798186201</c:v>
                </c:pt>
                <c:pt idx="60">
                  <c:v>176.93835870572158</c:v>
                </c:pt>
                <c:pt idx="61">
                  <c:v>176.21809183535458</c:v>
                </c:pt>
                <c:pt idx="62">
                  <c:v>175.42796474557585</c:v>
                </c:pt>
                <c:pt idx="63">
                  <c:v>174.57830350380311</c:v>
                </c:pt>
                <c:pt idx="64">
                  <c:v>173.67804169948815</c:v>
                </c:pt>
                <c:pt idx="65">
                  <c:v>172.73431398239288</c:v>
                </c:pt>
                <c:pt idx="66">
                  <c:v>171.75445622621703</c:v>
                </c:pt>
                <c:pt idx="67">
                  <c:v>170.74715785842133</c:v>
                </c:pt>
                <c:pt idx="68">
                  <c:v>169.72313677132507</c:v>
                </c:pt>
                <c:pt idx="69">
                  <c:v>168.69426888358606</c:v>
                </c:pt>
                <c:pt idx="70">
                  <c:v>167.67260315338001</c:v>
                </c:pt>
                <c:pt idx="71">
                  <c:v>166.67175462083037</c:v>
                </c:pt>
                <c:pt idx="72">
                  <c:v>165.70591794908978</c:v>
                </c:pt>
                <c:pt idx="73">
                  <c:v>164.78905545467282</c:v>
                </c:pt>
                <c:pt idx="74">
                  <c:v>163.93368825537596</c:v>
                </c:pt>
                <c:pt idx="75">
                  <c:v>163.15021930933648</c:v>
                </c:pt>
                <c:pt idx="76">
                  <c:v>162.44678051953204</c:v>
                </c:pt>
                <c:pt idx="77">
                  <c:v>161.82884740187194</c:v>
                </c:pt>
                <c:pt idx="78">
                  <c:v>161.29999123444074</c:v>
                </c:pt>
                <c:pt idx="79">
                  <c:v>160.86001526569686</c:v>
                </c:pt>
                <c:pt idx="80">
                  <c:v>160.50541024957718</c:v>
                </c:pt>
                <c:pt idx="81">
                  <c:v>160.22969193047757</c:v>
                </c:pt>
                <c:pt idx="82">
                  <c:v>160.02399767138792</c:v>
                </c:pt>
                <c:pt idx="83">
                  <c:v>159.87925877784156</c:v>
                </c:pt>
                <c:pt idx="84">
                  <c:v>159.78764155682717</c:v>
                </c:pt>
                <c:pt idx="85">
                  <c:v>159.74226277859731</c:v>
                </c:pt>
                <c:pt idx="86">
                  <c:v>159.73762193743144</c:v>
                </c:pt>
                <c:pt idx="87">
                  <c:v>159.76881711337242</c:v>
                </c:pt>
                <c:pt idx="88">
                  <c:v>159.83204787275216</c:v>
                </c:pt>
                <c:pt idx="89">
                  <c:v>159.92509577120677</c:v>
                </c:pt>
                <c:pt idx="90">
                  <c:v>160.04584733445191</c:v>
                </c:pt>
                <c:pt idx="91">
                  <c:v>160.1917359033462</c:v>
                </c:pt>
                <c:pt idx="92">
                  <c:v>160.35872866416426</c:v>
                </c:pt>
                <c:pt idx="93">
                  <c:v>160.54079796824109</c:v>
                </c:pt>
                <c:pt idx="94">
                  <c:v>160.72806696149655</c:v>
                </c:pt>
                <c:pt idx="95">
                  <c:v>160.90763329112039</c:v>
                </c:pt>
                <c:pt idx="96">
                  <c:v>161.0642645624514</c:v>
                </c:pt>
                <c:pt idx="97">
                  <c:v>161.17922361002144</c:v>
                </c:pt>
                <c:pt idx="98">
                  <c:v>161.23198310301083</c:v>
                </c:pt>
                <c:pt idx="99">
                  <c:v>161.20571619584365</c:v>
                </c:pt>
                <c:pt idx="100">
                  <c:v>161.08907605350458</c:v>
                </c:pt>
                <c:pt idx="101">
                  <c:v>160.87839976835591</c:v>
                </c:pt>
                <c:pt idx="102">
                  <c:v>160.57915626022648</c:v>
                </c:pt>
                <c:pt idx="103">
                  <c:v>160.20282794908994</c:v>
                </c:pt>
                <c:pt idx="104">
                  <c:v>159.76503528225732</c:v>
                </c:pt>
                <c:pt idx="105">
                  <c:v>159.28333443957146</c:v>
                </c:pt>
                <c:pt idx="106">
                  <c:v>158.77367845382383</c:v>
                </c:pt>
                <c:pt idx="107">
                  <c:v>158.24896827378112</c:v>
                </c:pt>
                <c:pt idx="108">
                  <c:v>157.71887129917641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56-4BCC-911F-A88675481A8B}"/>
            </c:ext>
          </c:extLst>
        </c:ser>
        <c:ser>
          <c:idx val="4"/>
          <c:order val="4"/>
          <c:tx>
            <c:v>HP2_400K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Example!$A$3:$A$111</c:f>
              <c:numCache>
                <c:formatCode>m/d/yyyy</c:formatCode>
                <c:ptCount val="109"/>
                <c:pt idx="0">
                  <c:v>35155</c:v>
                </c:pt>
                <c:pt idx="1">
                  <c:v>35246</c:v>
                </c:pt>
                <c:pt idx="2">
                  <c:v>35338</c:v>
                </c:pt>
                <c:pt idx="3">
                  <c:v>35430</c:v>
                </c:pt>
                <c:pt idx="4">
                  <c:v>35520</c:v>
                </c:pt>
                <c:pt idx="5">
                  <c:v>35611</c:v>
                </c:pt>
                <c:pt idx="6">
                  <c:v>35703</c:v>
                </c:pt>
                <c:pt idx="7">
                  <c:v>35795</c:v>
                </c:pt>
                <c:pt idx="8">
                  <c:v>35885</c:v>
                </c:pt>
                <c:pt idx="9">
                  <c:v>35976</c:v>
                </c:pt>
                <c:pt idx="10">
                  <c:v>36068</c:v>
                </c:pt>
                <c:pt idx="11">
                  <c:v>36160</c:v>
                </c:pt>
                <c:pt idx="12">
                  <c:v>36250</c:v>
                </c:pt>
                <c:pt idx="13">
                  <c:v>36341</c:v>
                </c:pt>
                <c:pt idx="14">
                  <c:v>36433</c:v>
                </c:pt>
                <c:pt idx="15">
                  <c:v>36525</c:v>
                </c:pt>
                <c:pt idx="16">
                  <c:v>36616</c:v>
                </c:pt>
                <c:pt idx="17">
                  <c:v>36707</c:v>
                </c:pt>
                <c:pt idx="18">
                  <c:v>36799</c:v>
                </c:pt>
                <c:pt idx="19">
                  <c:v>36891</c:v>
                </c:pt>
                <c:pt idx="20">
                  <c:v>36981</c:v>
                </c:pt>
                <c:pt idx="21">
                  <c:v>37072</c:v>
                </c:pt>
                <c:pt idx="22">
                  <c:v>37164</c:v>
                </c:pt>
                <c:pt idx="23">
                  <c:v>37256</c:v>
                </c:pt>
                <c:pt idx="24">
                  <c:v>37346</c:v>
                </c:pt>
                <c:pt idx="25">
                  <c:v>37437</c:v>
                </c:pt>
                <c:pt idx="26">
                  <c:v>37529</c:v>
                </c:pt>
                <c:pt idx="27">
                  <c:v>37621</c:v>
                </c:pt>
                <c:pt idx="28">
                  <c:v>37711</c:v>
                </c:pt>
                <c:pt idx="29">
                  <c:v>37802</c:v>
                </c:pt>
                <c:pt idx="30">
                  <c:v>37894</c:v>
                </c:pt>
                <c:pt idx="31">
                  <c:v>37986</c:v>
                </c:pt>
                <c:pt idx="32">
                  <c:v>38077</c:v>
                </c:pt>
                <c:pt idx="33">
                  <c:v>38168</c:v>
                </c:pt>
                <c:pt idx="34">
                  <c:v>38260</c:v>
                </c:pt>
                <c:pt idx="35">
                  <c:v>38352</c:v>
                </c:pt>
                <c:pt idx="36">
                  <c:v>38442</c:v>
                </c:pt>
                <c:pt idx="37">
                  <c:v>38533</c:v>
                </c:pt>
                <c:pt idx="38">
                  <c:v>38625</c:v>
                </c:pt>
                <c:pt idx="39">
                  <c:v>38717</c:v>
                </c:pt>
                <c:pt idx="40">
                  <c:v>38807</c:v>
                </c:pt>
                <c:pt idx="41">
                  <c:v>38898</c:v>
                </c:pt>
                <c:pt idx="42">
                  <c:v>38990</c:v>
                </c:pt>
                <c:pt idx="43">
                  <c:v>39082</c:v>
                </c:pt>
                <c:pt idx="44">
                  <c:v>39172</c:v>
                </c:pt>
                <c:pt idx="45">
                  <c:v>39263</c:v>
                </c:pt>
                <c:pt idx="46">
                  <c:v>39355</c:v>
                </c:pt>
                <c:pt idx="47">
                  <c:v>39447</c:v>
                </c:pt>
                <c:pt idx="48">
                  <c:v>39538</c:v>
                </c:pt>
                <c:pt idx="49">
                  <c:v>39629</c:v>
                </c:pt>
                <c:pt idx="50">
                  <c:v>39721</c:v>
                </c:pt>
                <c:pt idx="51">
                  <c:v>39813</c:v>
                </c:pt>
                <c:pt idx="52">
                  <c:v>39903</c:v>
                </c:pt>
                <c:pt idx="53">
                  <c:v>39994</c:v>
                </c:pt>
                <c:pt idx="54">
                  <c:v>40086</c:v>
                </c:pt>
                <c:pt idx="55">
                  <c:v>40178</c:v>
                </c:pt>
                <c:pt idx="56">
                  <c:v>40268</c:v>
                </c:pt>
                <c:pt idx="57">
                  <c:v>40359</c:v>
                </c:pt>
                <c:pt idx="58">
                  <c:v>40451</c:v>
                </c:pt>
                <c:pt idx="59">
                  <c:v>40543</c:v>
                </c:pt>
                <c:pt idx="60">
                  <c:v>40633</c:v>
                </c:pt>
                <c:pt idx="61">
                  <c:v>40724</c:v>
                </c:pt>
                <c:pt idx="62">
                  <c:v>40816</c:v>
                </c:pt>
                <c:pt idx="63">
                  <c:v>40908</c:v>
                </c:pt>
                <c:pt idx="64">
                  <c:v>40999</c:v>
                </c:pt>
                <c:pt idx="65">
                  <c:v>41090</c:v>
                </c:pt>
                <c:pt idx="66">
                  <c:v>41182</c:v>
                </c:pt>
                <c:pt idx="67">
                  <c:v>41274</c:v>
                </c:pt>
                <c:pt idx="68">
                  <c:v>41364</c:v>
                </c:pt>
                <c:pt idx="69">
                  <c:v>41455</c:v>
                </c:pt>
                <c:pt idx="70">
                  <c:v>41547</c:v>
                </c:pt>
                <c:pt idx="71">
                  <c:v>41639</c:v>
                </c:pt>
                <c:pt idx="72">
                  <c:v>41729</c:v>
                </c:pt>
                <c:pt idx="73">
                  <c:v>41820</c:v>
                </c:pt>
                <c:pt idx="74">
                  <c:v>41912</c:v>
                </c:pt>
                <c:pt idx="75">
                  <c:v>42004</c:v>
                </c:pt>
                <c:pt idx="76">
                  <c:v>42094</c:v>
                </c:pt>
                <c:pt idx="77">
                  <c:v>42185</c:v>
                </c:pt>
                <c:pt idx="78">
                  <c:v>42277</c:v>
                </c:pt>
                <c:pt idx="79">
                  <c:v>42369</c:v>
                </c:pt>
                <c:pt idx="80">
                  <c:v>42460</c:v>
                </c:pt>
                <c:pt idx="81">
                  <c:v>42551</c:v>
                </c:pt>
                <c:pt idx="82">
                  <c:v>42643</c:v>
                </c:pt>
                <c:pt idx="83">
                  <c:v>42735</c:v>
                </c:pt>
                <c:pt idx="84">
                  <c:v>42825</c:v>
                </c:pt>
                <c:pt idx="85">
                  <c:v>42916</c:v>
                </c:pt>
                <c:pt idx="86">
                  <c:v>43008</c:v>
                </c:pt>
                <c:pt idx="87">
                  <c:v>43100</c:v>
                </c:pt>
                <c:pt idx="88">
                  <c:v>43190</c:v>
                </c:pt>
                <c:pt idx="89">
                  <c:v>43281</c:v>
                </c:pt>
                <c:pt idx="90">
                  <c:v>43373</c:v>
                </c:pt>
                <c:pt idx="91">
                  <c:v>43465</c:v>
                </c:pt>
                <c:pt idx="92">
                  <c:v>43555</c:v>
                </c:pt>
                <c:pt idx="93">
                  <c:v>43646</c:v>
                </c:pt>
                <c:pt idx="94">
                  <c:v>43738</c:v>
                </c:pt>
                <c:pt idx="95">
                  <c:v>43830</c:v>
                </c:pt>
                <c:pt idx="96">
                  <c:v>43921</c:v>
                </c:pt>
                <c:pt idx="97">
                  <c:v>44012</c:v>
                </c:pt>
                <c:pt idx="98">
                  <c:v>44104</c:v>
                </c:pt>
                <c:pt idx="99">
                  <c:v>44196</c:v>
                </c:pt>
                <c:pt idx="100">
                  <c:v>44286</c:v>
                </c:pt>
                <c:pt idx="101">
                  <c:v>44377</c:v>
                </c:pt>
                <c:pt idx="102">
                  <c:v>44469</c:v>
                </c:pt>
                <c:pt idx="103">
                  <c:v>44561</c:v>
                </c:pt>
                <c:pt idx="104">
                  <c:v>44651</c:v>
                </c:pt>
                <c:pt idx="105">
                  <c:v>44742</c:v>
                </c:pt>
                <c:pt idx="106">
                  <c:v>44834</c:v>
                </c:pt>
                <c:pt idx="107">
                  <c:v>44926</c:v>
                </c:pt>
                <c:pt idx="108">
                  <c:v>45016</c:v>
                </c:pt>
              </c:numCache>
            </c:numRef>
          </c:cat>
          <c:val>
            <c:numRef>
              <c:f>Example!$K$3:$K$111</c:f>
              <c:numCache>
                <c:formatCode>General</c:formatCode>
                <c:ptCount val="109"/>
                <c:pt idx="0">
                  <c:v>121.9232490512523</c:v>
                </c:pt>
                <c:pt idx="1">
                  <c:v>122.86463877037011</c:v>
                </c:pt>
                <c:pt idx="2">
                  <c:v>123.80599618136529</c:v>
                </c:pt>
                <c:pt idx="3">
                  <c:v>124.74725606451828</c:v>
                </c:pt>
                <c:pt idx="4">
                  <c:v>125.68831743511905</c:v>
                </c:pt>
                <c:pt idx="5">
                  <c:v>126.62903869031736</c:v>
                </c:pt>
                <c:pt idx="6">
                  <c:v>127.56923400646942</c:v>
                </c:pt>
                <c:pt idx="7">
                  <c:v>128.50867548733467</c:v>
                </c:pt>
                <c:pt idx="8">
                  <c:v>129.44709631358759</c:v>
                </c:pt>
                <c:pt idx="9">
                  <c:v>130.38418839421394</c:v>
                </c:pt>
                <c:pt idx="10">
                  <c:v>131.31960377045866</c:v>
                </c:pt>
                <c:pt idx="11">
                  <c:v>132.25295627309572</c:v>
                </c:pt>
                <c:pt idx="12">
                  <c:v>133.18382818388966</c:v>
                </c:pt>
                <c:pt idx="13">
                  <c:v>134.11177090221435</c:v>
                </c:pt>
                <c:pt idx="14">
                  <c:v>135.0363091178732</c:v>
                </c:pt>
                <c:pt idx="15">
                  <c:v>135.95694524124241</c:v>
                </c:pt>
                <c:pt idx="16">
                  <c:v>136.87315959192537</c:v>
                </c:pt>
                <c:pt idx="17">
                  <c:v>137.78441234716237</c:v>
                </c:pt>
                <c:pt idx="18">
                  <c:v>138.69014500129475</c:v>
                </c:pt>
                <c:pt idx="19">
                  <c:v>139.58978608763294</c:v>
                </c:pt>
                <c:pt idx="20">
                  <c:v>140.48275316412486</c:v>
                </c:pt>
                <c:pt idx="21">
                  <c:v>141.3684530642532</c:v>
                </c:pt>
                <c:pt idx="22">
                  <c:v>142.24628866461777</c:v>
                </c:pt>
                <c:pt idx="23">
                  <c:v>143.11565892068569</c:v>
                </c:pt>
                <c:pt idx="24">
                  <c:v>143.97596017220246</c:v>
                </c:pt>
                <c:pt idx="25">
                  <c:v>144.8265904697663</c:v>
                </c:pt>
                <c:pt idx="26">
                  <c:v>145.66695267407493</c:v>
                </c:pt>
                <c:pt idx="27">
                  <c:v>146.49645857934991</c:v>
                </c:pt>
                <c:pt idx="28">
                  <c:v>147.31454031243109</c:v>
                </c:pt>
                <c:pt idx="29">
                  <c:v>148.12064800901192</c:v>
                </c:pt>
                <c:pt idx="30">
                  <c:v>148.91424151843501</c:v>
                </c:pt>
                <c:pt idx="31">
                  <c:v>149.69479413842294</c:v>
                </c:pt>
                <c:pt idx="32">
                  <c:v>150.46179188109448</c:v>
                </c:pt>
                <c:pt idx="33">
                  <c:v>151.21473127158308</c:v>
                </c:pt>
                <c:pt idx="34">
                  <c:v>151.95311668054248</c:v>
                </c:pt>
                <c:pt idx="35">
                  <c:v>152.67645944179824</c:v>
                </c:pt>
                <c:pt idx="36">
                  <c:v>153.38428225638424</c:v>
                </c:pt>
                <c:pt idx="37">
                  <c:v>154.07611988418574</c:v>
                </c:pt>
                <c:pt idx="38">
                  <c:v>154.75151912438238</c:v>
                </c:pt>
                <c:pt idx="39">
                  <c:v>155.4100463358541</c:v>
                </c:pt>
                <c:pt idx="40">
                  <c:v>156.05129024868307</c:v>
                </c:pt>
                <c:pt idx="41">
                  <c:v>156.67486356783559</c:v>
                </c:pt>
                <c:pt idx="42">
                  <c:v>157.28040362005228</c:v>
                </c:pt>
                <c:pt idx="43">
                  <c:v>157.86757679491487</c:v>
                </c:pt>
                <c:pt idx="44">
                  <c:v>158.43608528099602</c:v>
                </c:pt>
                <c:pt idx="45">
                  <c:v>158.98566584792641</c:v>
                </c:pt>
                <c:pt idx="46">
                  <c:v>159.51608467512349</c:v>
                </c:pt>
                <c:pt idx="47">
                  <c:v>160.02713747784011</c:v>
                </c:pt>
                <c:pt idx="48">
                  <c:v>160.51865643111736</c:v>
                </c:pt>
                <c:pt idx="49">
                  <c:v>160.99051239215265</c:v>
                </c:pt>
                <c:pt idx="50">
                  <c:v>161.44262117150228</c:v>
                </c:pt>
                <c:pt idx="51">
                  <c:v>161.87494110344159</c:v>
                </c:pt>
                <c:pt idx="52">
                  <c:v>162.287473665693</c:v>
                </c:pt>
                <c:pt idx="53">
                  <c:v>162.68027764862617</c:v>
                </c:pt>
                <c:pt idx="54">
                  <c:v>163.05346712392659</c:v>
                </c:pt>
                <c:pt idx="55">
                  <c:v>163.40720196258565</c:v>
                </c:pt>
                <c:pt idx="56">
                  <c:v>163.7416961519269</c:v>
                </c:pt>
                <c:pt idx="57">
                  <c:v>164.057216411269</c:v>
                </c:pt>
                <c:pt idx="58">
                  <c:v>164.35408360569019</c:v>
                </c:pt>
                <c:pt idx="59">
                  <c:v>164.6326617072277</c:v>
                </c:pt>
                <c:pt idx="60">
                  <c:v>164.89335555270975</c:v>
                </c:pt>
                <c:pt idx="61">
                  <c:v>165.13659839731028</c:v>
                </c:pt>
                <c:pt idx="62">
                  <c:v>165.36284801281431</c:v>
                </c:pt>
                <c:pt idx="63">
                  <c:v>165.57258482951093</c:v>
                </c:pt>
                <c:pt idx="64">
                  <c:v>165.76630887056916</c:v>
                </c:pt>
                <c:pt idx="65">
                  <c:v>165.94453547769598</c:v>
                </c:pt>
                <c:pt idx="66">
                  <c:v>166.10780057682621</c:v>
                </c:pt>
                <c:pt idx="67">
                  <c:v>166.25666248255592</c:v>
                </c:pt>
                <c:pt idx="68">
                  <c:v>166.39170173997979</c:v>
                </c:pt>
                <c:pt idx="69">
                  <c:v>166.51351475253628</c:v>
                </c:pt>
                <c:pt idx="70">
                  <c:v>166.62270694440952</c:v>
                </c:pt>
                <c:pt idx="71">
                  <c:v>166.71989545599678</c:v>
                </c:pt>
                <c:pt idx="72">
                  <c:v>166.805702370928</c:v>
                </c:pt>
                <c:pt idx="73">
                  <c:v>166.88074872309451</c:v>
                </c:pt>
                <c:pt idx="74">
                  <c:v>166.94564703213169</c:v>
                </c:pt>
                <c:pt idx="75">
                  <c:v>167.00099611580313</c:v>
                </c:pt>
                <c:pt idx="76">
                  <c:v>167.04737817775487</c:v>
                </c:pt>
                <c:pt idx="77">
                  <c:v>167.08535516914262</c:v>
                </c:pt>
                <c:pt idx="78">
                  <c:v>167.11546992267662</c:v>
                </c:pt>
                <c:pt idx="79">
                  <c:v>167.13823705767925</c:v>
                </c:pt>
                <c:pt idx="80">
                  <c:v>167.15414340479799</c:v>
                </c:pt>
                <c:pt idx="81">
                  <c:v>167.16364819908773</c:v>
                </c:pt>
                <c:pt idx="82">
                  <c:v>167.16718454024485</c:v>
                </c:pt>
                <c:pt idx="83">
                  <c:v>167.1651673688452</c:v>
                </c:pt>
                <c:pt idx="84">
                  <c:v>167.15799870750325</c:v>
                </c:pt>
                <c:pt idx="85">
                  <c:v>167.14606616591507</c:v>
                </c:pt>
                <c:pt idx="86">
                  <c:v>167.1297444587799</c:v>
                </c:pt>
                <c:pt idx="87">
                  <c:v>167.10939218563161</c:v>
                </c:pt>
                <c:pt idx="88">
                  <c:v>167.08535387164292</c:v>
                </c:pt>
                <c:pt idx="89">
                  <c:v>167.05796201850609</c:v>
                </c:pt>
                <c:pt idx="90">
                  <c:v>167.02753141452868</c:v>
                </c:pt>
                <c:pt idx="91">
                  <c:v>166.99435720311322</c:v>
                </c:pt>
                <c:pt idx="92">
                  <c:v>166.95871120883371</c:v>
                </c:pt>
                <c:pt idx="93">
                  <c:v>166.92084027037109</c:v>
                </c:pt>
                <c:pt idx="94">
                  <c:v>166.88095932962835</c:v>
                </c:pt>
                <c:pt idx="95">
                  <c:v>166.83925527640781</c:v>
                </c:pt>
                <c:pt idx="96">
                  <c:v>166.79589029811342</c:v>
                </c:pt>
                <c:pt idx="97">
                  <c:v>166.75099773401098</c:v>
                </c:pt>
                <c:pt idx="98">
                  <c:v>166.70468943364057</c:v>
                </c:pt>
                <c:pt idx="99">
                  <c:v>166.65707811904792</c:v>
                </c:pt>
                <c:pt idx="100">
                  <c:v>166.60828475055519</c:v>
                </c:pt>
                <c:pt idx="101">
                  <c:v>166.55844739578919</c:v>
                </c:pt>
                <c:pt idx="102">
                  <c:v>166.5077268516649</c:v>
                </c:pt>
                <c:pt idx="103">
                  <c:v>166.45629376897878</c:v>
                </c:pt>
                <c:pt idx="104">
                  <c:v>166.4043205292102</c:v>
                </c:pt>
                <c:pt idx="105">
                  <c:v>166.35197162310408</c:v>
                </c:pt>
                <c:pt idx="106">
                  <c:v>166.29938853060406</c:v>
                </c:pt>
                <c:pt idx="107">
                  <c:v>166.24668285172473</c:v>
                </c:pt>
                <c:pt idx="108">
                  <c:v>166.19393443800931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56-4BCC-911F-A88675481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019432"/>
        <c:axId val="332021072"/>
      </c:lineChart>
      <c:dateAx>
        <c:axId val="332019432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21072"/>
        <c:crosses val="autoZero"/>
        <c:auto val="0"/>
        <c:lblOffset val="100"/>
        <c:baseTimeUnit val="months"/>
        <c:majorUnit val="12"/>
        <c:majorTimeUnit val="months"/>
        <c:minorUnit val="3"/>
        <c:minorTimeUnit val="months"/>
      </c:dateAx>
      <c:valAx>
        <c:axId val="332021072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19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0</xdr:rowOff>
    </xdr:from>
    <xdr:to>
      <xdr:col>17</xdr:col>
      <xdr:colOff>8965</xdr:colOff>
      <xdr:row>18</xdr:row>
      <xdr:rowOff>53788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"/>
  <sheetViews>
    <sheetView tabSelected="1" workbookViewId="0">
      <selection activeCell="A34" sqref="A34"/>
    </sheetView>
  </sheetViews>
  <sheetFormatPr defaultRowHeight="14.4" x14ac:dyDescent="0.3"/>
  <sheetData>
    <row r="1" spans="1:16" x14ac:dyDescent="0.3">
      <c r="A1" s="42" t="s">
        <v>19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2"/>
      <c r="M1" s="2"/>
      <c r="N1" s="2"/>
      <c r="O1" s="2"/>
      <c r="P1" s="2"/>
    </row>
    <row r="2" spans="1:16" x14ac:dyDescent="0.3">
      <c r="A2" s="44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  <c r="O2" s="2"/>
      <c r="P2" s="2"/>
    </row>
    <row r="3" spans="1:16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3">
      <c r="A4" s="38" t="s">
        <v>16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2"/>
      <c r="M4" s="2"/>
      <c r="N4" s="2"/>
      <c r="O4" s="2"/>
      <c r="P4" s="2"/>
    </row>
    <row r="5" spans="1:16" x14ac:dyDescent="0.3">
      <c r="A5" s="37" t="s">
        <v>12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2"/>
      <c r="M5" s="2"/>
      <c r="N5" s="2"/>
      <c r="O5" s="2"/>
      <c r="P5" s="2"/>
    </row>
    <row r="6" spans="1:16" x14ac:dyDescent="0.3">
      <c r="A6" s="37" t="s">
        <v>13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2"/>
      <c r="M6" s="2"/>
      <c r="N6" s="2"/>
      <c r="O6" s="2"/>
      <c r="P6" s="2"/>
    </row>
    <row r="7" spans="1:16" x14ac:dyDescent="0.3">
      <c r="A7" s="37" t="s">
        <v>14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2"/>
      <c r="M7" s="2"/>
      <c r="N7" s="2"/>
      <c r="O7" s="2"/>
      <c r="P7" s="2"/>
    </row>
    <row r="8" spans="1:16" x14ac:dyDescent="0.3">
      <c r="A8" s="37" t="s">
        <v>15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2"/>
      <c r="M8" s="2"/>
      <c r="N8" s="2"/>
      <c r="O8" s="2"/>
      <c r="P8" s="2"/>
    </row>
    <row r="9" spans="1:16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3">
      <c r="A10" s="38" t="s">
        <v>17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2"/>
      <c r="M10" s="2"/>
      <c r="N10" s="2"/>
      <c r="O10" s="2"/>
      <c r="P10" s="2"/>
    </row>
    <row r="11" spans="1:16" x14ac:dyDescent="0.3">
      <c r="A11" s="37" t="s">
        <v>18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2"/>
      <c r="M11" s="2"/>
      <c r="N11" s="2"/>
      <c r="O11" s="2"/>
      <c r="P11" s="2"/>
    </row>
    <row r="12" spans="1:16" x14ac:dyDescent="0.3">
      <c r="A12" s="37" t="s">
        <v>13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2"/>
      <c r="M12" s="2"/>
      <c r="N12" s="2"/>
      <c r="O12" s="2"/>
      <c r="P12" s="2"/>
    </row>
    <row r="13" spans="1:16" x14ac:dyDescent="0.3">
      <c r="A13" s="37" t="s">
        <v>14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2"/>
      <c r="M13" s="2"/>
      <c r="N13" s="2"/>
      <c r="O13" s="2"/>
      <c r="P13" s="2"/>
    </row>
    <row r="14" spans="1:16" x14ac:dyDescent="0.3">
      <c r="A14" s="37" t="s">
        <v>15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2"/>
      <c r="M14" s="2"/>
      <c r="N14" s="2"/>
      <c r="O14" s="2"/>
      <c r="P14" s="2"/>
    </row>
    <row r="15" spans="1:16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3">
      <c r="A16" s="38" t="s">
        <v>20</v>
      </c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2"/>
      <c r="M16" s="2"/>
      <c r="N16" s="2"/>
      <c r="O16" s="2"/>
      <c r="P16" s="2"/>
    </row>
    <row r="17" spans="1:16" x14ac:dyDescent="0.3">
      <c r="A17" s="45" t="s">
        <v>21</v>
      </c>
      <c r="B17" s="41"/>
      <c r="C17" s="41"/>
      <c r="D17" s="41"/>
      <c r="E17" s="46" t="s">
        <v>25</v>
      </c>
      <c r="F17" s="41" t="s">
        <v>23</v>
      </c>
      <c r="G17" s="41"/>
      <c r="H17" s="41"/>
      <c r="I17" s="41"/>
      <c r="J17" s="41"/>
      <c r="K17" s="41"/>
      <c r="L17" s="2"/>
      <c r="M17" s="2"/>
      <c r="N17" s="2"/>
      <c r="O17" s="2"/>
      <c r="P17" s="2"/>
    </row>
    <row r="18" spans="1:16" x14ac:dyDescent="0.3">
      <c r="A18" s="45" t="s">
        <v>22</v>
      </c>
      <c r="B18" s="41"/>
      <c r="C18" s="41"/>
      <c r="D18" s="41"/>
      <c r="E18" s="46" t="s">
        <v>25</v>
      </c>
      <c r="F18" s="41" t="s">
        <v>24</v>
      </c>
      <c r="G18" s="41"/>
      <c r="H18" s="41"/>
      <c r="I18" s="41"/>
      <c r="J18" s="41"/>
      <c r="K18" s="41"/>
      <c r="L18" s="2"/>
      <c r="M18" s="2"/>
      <c r="N18" s="2"/>
      <c r="O18" s="2"/>
      <c r="P18" s="2"/>
    </row>
    <row r="19" spans="1:16" x14ac:dyDescent="0.3">
      <c r="A19" s="47" t="s">
        <v>37</v>
      </c>
      <c r="B19" s="41"/>
      <c r="C19" s="41"/>
      <c r="D19" s="41"/>
      <c r="E19" s="46"/>
      <c r="F19" s="41"/>
      <c r="G19" s="41"/>
      <c r="H19" s="41"/>
      <c r="I19" s="41"/>
      <c r="J19" s="41"/>
      <c r="K19" s="41"/>
      <c r="L19" s="2"/>
      <c r="M19" s="2"/>
      <c r="N19" s="2"/>
      <c r="O19" s="2"/>
      <c r="P19" s="2"/>
    </row>
    <row r="20" spans="1:16" x14ac:dyDescent="0.3">
      <c r="A20" s="47" t="s">
        <v>36</v>
      </c>
      <c r="B20" s="41"/>
      <c r="C20" s="41"/>
      <c r="D20" s="41"/>
      <c r="E20" s="46"/>
      <c r="F20" s="41"/>
      <c r="G20" s="41"/>
      <c r="H20" s="41"/>
      <c r="I20" s="41"/>
      <c r="J20" s="41"/>
      <c r="K20" s="41"/>
      <c r="L20" s="2"/>
      <c r="M20" s="2"/>
      <c r="N20" s="2"/>
      <c r="O20" s="2"/>
      <c r="P20" s="2"/>
    </row>
    <row r="21" spans="1:16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3">
      <c r="A22" s="38" t="s">
        <v>26</v>
      </c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2"/>
      <c r="M22" s="2"/>
      <c r="N22" s="2"/>
      <c r="O22" s="2"/>
      <c r="P22" s="2"/>
    </row>
    <row r="23" spans="1:16" x14ac:dyDescent="0.3">
      <c r="A23" s="40" t="s">
        <v>31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2"/>
      <c r="M23" s="2"/>
      <c r="N23" s="2"/>
      <c r="O23" s="2"/>
      <c r="P23" s="2"/>
    </row>
    <row r="24" spans="1:16" x14ac:dyDescent="0.3">
      <c r="A24" s="40" t="s">
        <v>33</v>
      </c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2"/>
      <c r="M24" s="2"/>
      <c r="N24" s="2"/>
      <c r="O24" s="2"/>
      <c r="P24" s="2"/>
    </row>
    <row r="25" spans="1:16" x14ac:dyDescent="0.3">
      <c r="A25" s="41" t="s">
        <v>27</v>
      </c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2"/>
      <c r="M25" s="2"/>
      <c r="N25" s="2"/>
      <c r="O25" s="2"/>
      <c r="P25" s="2"/>
    </row>
    <row r="26" spans="1:16" x14ac:dyDescent="0.3">
      <c r="A26" s="41" t="s">
        <v>34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2"/>
      <c r="M26" s="2"/>
      <c r="N26" s="2"/>
      <c r="O26" s="2"/>
      <c r="P26" s="2"/>
    </row>
    <row r="27" spans="1:16" x14ac:dyDescent="0.3">
      <c r="A27" s="41" t="s">
        <v>35</v>
      </c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2"/>
      <c r="M27" s="2"/>
      <c r="N27" s="2"/>
      <c r="O27" s="2"/>
      <c r="P27" s="2"/>
    </row>
    <row r="28" spans="1:16" x14ac:dyDescent="0.3">
      <c r="A28" s="41" t="s">
        <v>32</v>
      </c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2"/>
      <c r="M28" s="2"/>
      <c r="N28" s="2"/>
      <c r="O28" s="2"/>
      <c r="P28" s="2"/>
    </row>
    <row r="29" spans="1:16" x14ac:dyDescent="0.3">
      <c r="A29" s="41" t="s">
        <v>30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2"/>
      <c r="M29" s="2"/>
      <c r="N29" s="2"/>
      <c r="O29" s="2"/>
      <c r="P29" s="2"/>
    </row>
    <row r="30" spans="1:16" x14ac:dyDescent="0.3">
      <c r="A30" s="41" t="s">
        <v>28</v>
      </c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2"/>
      <c r="M30" s="2"/>
      <c r="N30" s="2"/>
      <c r="O30" s="2"/>
      <c r="P30" s="2"/>
    </row>
    <row r="31" spans="1:16" x14ac:dyDescent="0.3">
      <c r="A31" s="41" t="s">
        <v>29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2"/>
      <c r="M31" s="2"/>
      <c r="N31" s="2"/>
      <c r="O31" s="2"/>
      <c r="P31" s="2"/>
    </row>
    <row r="32" spans="1:1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20"/>
  <sheetViews>
    <sheetView zoomScale="85" zoomScaleNormal="85" workbookViewId="0"/>
  </sheetViews>
  <sheetFormatPr defaultRowHeight="14.4" x14ac:dyDescent="0.3"/>
  <cols>
    <col min="1" max="1" width="12.21875" style="26" bestFit="1" customWidth="1"/>
    <col min="2" max="5" width="10.44140625" customWidth="1"/>
    <col min="6" max="6" width="10.44140625" style="25" customWidth="1"/>
    <col min="7" max="11" width="10.44140625" customWidth="1"/>
  </cols>
  <sheetData>
    <row r="1" spans="1:18" x14ac:dyDescent="0.3">
      <c r="A1" s="36"/>
      <c r="B1" s="3" t="s">
        <v>5</v>
      </c>
      <c r="C1" s="4"/>
      <c r="D1" s="4"/>
      <c r="E1" s="5"/>
      <c r="F1" s="34"/>
      <c r="G1" s="17" t="s">
        <v>3</v>
      </c>
      <c r="H1" s="13" t="s">
        <v>6</v>
      </c>
      <c r="I1" s="14"/>
      <c r="J1" s="15" t="s">
        <v>8</v>
      </c>
      <c r="K1" s="16"/>
      <c r="L1" s="35"/>
      <c r="M1" s="3" t="s">
        <v>10</v>
      </c>
      <c r="N1" s="4"/>
      <c r="O1" s="4"/>
      <c r="P1" s="5"/>
      <c r="Q1" s="35"/>
      <c r="R1" s="35"/>
    </row>
    <row r="2" spans="1:18" x14ac:dyDescent="0.3">
      <c r="A2" s="27" t="s">
        <v>4</v>
      </c>
      <c r="B2" s="17" t="s">
        <v>3</v>
      </c>
      <c r="C2" s="18" t="s">
        <v>2</v>
      </c>
      <c r="D2" s="20" t="s">
        <v>1</v>
      </c>
      <c r="E2" s="19" t="s">
        <v>0</v>
      </c>
      <c r="F2" s="34"/>
      <c r="G2" s="24" t="s">
        <v>7</v>
      </c>
      <c r="H2" s="30">
        <v>1600</v>
      </c>
      <c r="I2" s="31">
        <v>400000</v>
      </c>
      <c r="J2" s="32">
        <v>1600</v>
      </c>
      <c r="K2" s="33">
        <v>400000</v>
      </c>
      <c r="L2" s="35"/>
      <c r="M2" s="21" t="s">
        <v>9</v>
      </c>
      <c r="N2" s="22"/>
      <c r="O2" s="22"/>
      <c r="P2" s="23"/>
      <c r="Q2" s="35"/>
      <c r="R2" s="35"/>
    </row>
    <row r="3" spans="1:18" x14ac:dyDescent="0.3">
      <c r="A3" s="28">
        <v>35155</v>
      </c>
      <c r="B3" s="6">
        <v>121.1</v>
      </c>
      <c r="C3" s="6">
        <v>109</v>
      </c>
      <c r="D3" s="6">
        <v>129.9</v>
      </c>
      <c r="E3" s="6">
        <v>116.1</v>
      </c>
      <c r="F3" s="34"/>
      <c r="G3" s="35"/>
      <c r="H3" s="7">
        <f t="array" ref="H3:H111">HPONE(C3:C111,H2)</f>
        <v>109</v>
      </c>
      <c r="I3" s="9">
        <f t="array" ref="I3:I111">HPONE(C3:C111,I2)</f>
        <v>109</v>
      </c>
      <c r="J3" s="7">
        <f t="array" ref="J3:J111">HPTWO(C3:C111,J2)</f>
        <v>104.36988658937454</v>
      </c>
      <c r="K3" s="10">
        <f t="array" ref="K3:K111">HPTWO(C3:C111,K2)</f>
        <v>121.9232490512523</v>
      </c>
      <c r="L3" s="35"/>
      <c r="M3" s="35"/>
      <c r="N3" s="35"/>
      <c r="O3" s="35"/>
      <c r="P3" s="35"/>
      <c r="Q3" s="35"/>
      <c r="R3" s="35"/>
    </row>
    <row r="4" spans="1:18" x14ac:dyDescent="0.3">
      <c r="A4" s="28">
        <v>35246</v>
      </c>
      <c r="B4" s="7">
        <v>121.6</v>
      </c>
      <c r="C4" s="7">
        <v>109.7</v>
      </c>
      <c r="D4" s="7">
        <v>129.69999999999999</v>
      </c>
      <c r="E4" s="7">
        <v>117.5</v>
      </c>
      <c r="F4" s="34"/>
      <c r="G4" s="35"/>
      <c r="H4" s="7">
        <v>109.7</v>
      </c>
      <c r="I4" s="9">
        <v>109.7</v>
      </c>
      <c r="J4" s="7">
        <v>105.83589461875607</v>
      </c>
      <c r="K4" s="10">
        <v>122.86463877037011</v>
      </c>
      <c r="L4" s="35"/>
      <c r="M4" s="35"/>
      <c r="N4" s="35"/>
      <c r="O4" s="35"/>
      <c r="P4" s="35"/>
      <c r="Q4" s="35"/>
      <c r="R4" s="35"/>
    </row>
    <row r="5" spans="1:18" x14ac:dyDescent="0.3">
      <c r="A5" s="28">
        <v>35338</v>
      </c>
      <c r="B5" s="7">
        <v>121.8</v>
      </c>
      <c r="C5" s="7">
        <v>109.5</v>
      </c>
      <c r="D5" s="7">
        <v>128.80000000000001</v>
      </c>
      <c r="E5" s="7">
        <v>118.6</v>
      </c>
      <c r="F5" s="34"/>
      <c r="G5" s="35"/>
      <c r="H5" s="7">
        <v>109.5</v>
      </c>
      <c r="I5" s="9">
        <v>109.5</v>
      </c>
      <c r="J5" s="7">
        <v>107.30479646901924</v>
      </c>
      <c r="K5" s="10">
        <v>123.80599618136529</v>
      </c>
      <c r="L5" s="35"/>
      <c r="M5" s="35"/>
      <c r="N5" s="35"/>
      <c r="O5" s="35"/>
      <c r="P5" s="35"/>
      <c r="Q5" s="35"/>
      <c r="R5" s="35"/>
    </row>
    <row r="6" spans="1:18" x14ac:dyDescent="0.3">
      <c r="A6" s="28">
        <v>35430</v>
      </c>
      <c r="B6" s="7">
        <v>121.6</v>
      </c>
      <c r="C6" s="7">
        <v>108.5</v>
      </c>
      <c r="D6" s="7">
        <v>129.6</v>
      </c>
      <c r="E6" s="7">
        <v>120.2</v>
      </c>
      <c r="F6" s="34"/>
      <c r="G6" s="35"/>
      <c r="H6" s="7">
        <v>108.91986754146143</v>
      </c>
      <c r="I6" s="9">
        <v>108.9199994675767</v>
      </c>
      <c r="J6" s="7">
        <v>108.78190102690895</v>
      </c>
      <c r="K6" s="10">
        <v>124.74725606451828</v>
      </c>
      <c r="L6" s="35"/>
      <c r="M6" s="35"/>
      <c r="N6" s="35"/>
      <c r="O6" s="35"/>
      <c r="P6" s="35"/>
      <c r="Q6" s="35"/>
      <c r="R6" s="35"/>
    </row>
    <row r="7" spans="1:18" x14ac:dyDescent="0.3">
      <c r="A7" s="28">
        <v>35520</v>
      </c>
      <c r="B7" s="7">
        <v>121.3</v>
      </c>
      <c r="C7" s="7">
        <v>108</v>
      </c>
      <c r="D7" s="7">
        <v>130.30000000000001</v>
      </c>
      <c r="E7" s="7">
        <v>120.6</v>
      </c>
      <c r="F7" s="34"/>
      <c r="G7" s="35"/>
      <c r="H7" s="7">
        <v>108.29967276073432</v>
      </c>
      <c r="I7" s="9">
        <v>108.29999868603662</v>
      </c>
      <c r="J7" s="7">
        <v>110.27388918137699</v>
      </c>
      <c r="K7" s="10">
        <v>125.68831743511905</v>
      </c>
      <c r="L7" s="35"/>
      <c r="M7" s="35"/>
      <c r="N7" s="35"/>
      <c r="O7" s="35"/>
      <c r="P7" s="35"/>
      <c r="Q7" s="35"/>
      <c r="R7" s="35"/>
    </row>
    <row r="8" spans="1:18" x14ac:dyDescent="0.3">
      <c r="A8" s="28">
        <v>35611</v>
      </c>
      <c r="B8" s="7">
        <v>121.8</v>
      </c>
      <c r="C8" s="7">
        <v>109.8</v>
      </c>
      <c r="D8" s="7">
        <v>130.6</v>
      </c>
      <c r="E8" s="7">
        <v>121.6</v>
      </c>
      <c r="F8" s="34"/>
      <c r="G8" s="35"/>
      <c r="H8" s="7">
        <v>108.93384322421313</v>
      </c>
      <c r="I8" s="9">
        <v>108.93333537313978</v>
      </c>
      <c r="J8" s="7">
        <v>111.78726563323328</v>
      </c>
      <c r="K8" s="10">
        <v>126.62903869031736</v>
      </c>
      <c r="L8" s="35"/>
      <c r="M8" s="35"/>
      <c r="N8" s="35"/>
      <c r="O8" s="35"/>
      <c r="P8" s="35"/>
      <c r="Q8" s="35"/>
      <c r="R8" s="35"/>
    </row>
    <row r="9" spans="1:18" x14ac:dyDescent="0.3">
      <c r="A9" s="28">
        <v>35703</v>
      </c>
      <c r="B9" s="7">
        <v>122.5</v>
      </c>
      <c r="C9" s="7">
        <v>112</v>
      </c>
      <c r="D9" s="7">
        <v>130</v>
      </c>
      <c r="E9" s="7">
        <v>122.1</v>
      </c>
      <c r="F9" s="34"/>
      <c r="G9" s="35"/>
      <c r="H9" s="7">
        <v>110.32845150214214</v>
      </c>
      <c r="I9" s="9">
        <v>110.32501384267299</v>
      </c>
      <c r="J9" s="7">
        <v>113.32711390254939</v>
      </c>
      <c r="K9" s="10">
        <v>127.56923400646942</v>
      </c>
      <c r="L9" s="35"/>
      <c r="M9" s="35"/>
      <c r="N9" s="35"/>
      <c r="O9" s="35"/>
      <c r="P9" s="35"/>
      <c r="Q9" s="35"/>
      <c r="R9" s="35"/>
    </row>
    <row r="10" spans="1:18" x14ac:dyDescent="0.3">
      <c r="A10" s="28">
        <v>35795</v>
      </c>
      <c r="B10" s="7">
        <v>122.9</v>
      </c>
      <c r="C10" s="7">
        <v>112</v>
      </c>
      <c r="D10" s="7">
        <v>129.80000000000001</v>
      </c>
      <c r="E10" s="7">
        <v>123.2</v>
      </c>
      <c r="F10" s="34"/>
      <c r="G10" s="35"/>
      <c r="H10" s="7">
        <v>111.18941229748216</v>
      </c>
      <c r="I10" s="9">
        <v>111.18335777177046</v>
      </c>
      <c r="J10" s="7">
        <v>114.89727546837612</v>
      </c>
      <c r="K10" s="10">
        <v>128.50867548733467</v>
      </c>
      <c r="L10" s="35"/>
      <c r="M10" s="35"/>
      <c r="N10" s="35"/>
      <c r="O10" s="35"/>
      <c r="P10" s="35"/>
      <c r="Q10" s="35"/>
      <c r="R10" s="35"/>
    </row>
    <row r="11" spans="1:18" x14ac:dyDescent="0.3">
      <c r="A11" s="28">
        <v>35885</v>
      </c>
      <c r="B11" s="7">
        <v>123.6</v>
      </c>
      <c r="C11" s="7">
        <v>113.5</v>
      </c>
      <c r="D11" s="7">
        <v>129.5</v>
      </c>
      <c r="E11" s="7">
        <v>123.2</v>
      </c>
      <c r="F11" s="34"/>
      <c r="G11" s="35"/>
      <c r="H11" s="7">
        <v>112.31326325020974</v>
      </c>
      <c r="I11" s="9">
        <v>112.30226674747487</v>
      </c>
      <c r="J11" s="7">
        <v>116.50076236357521</v>
      </c>
      <c r="K11" s="10">
        <v>129.44709631358759</v>
      </c>
      <c r="L11" s="35"/>
      <c r="M11" s="35"/>
      <c r="N11" s="35"/>
      <c r="O11" s="35"/>
      <c r="P11" s="35"/>
      <c r="Q11" s="35"/>
      <c r="R11" s="35"/>
    </row>
    <row r="12" spans="1:18" x14ac:dyDescent="0.3">
      <c r="A12" s="28">
        <v>35976</v>
      </c>
      <c r="B12" s="7">
        <v>125.5</v>
      </c>
      <c r="C12" s="7">
        <v>115.1</v>
      </c>
      <c r="D12" s="7">
        <v>129.1</v>
      </c>
      <c r="E12" s="7">
        <v>123.8</v>
      </c>
      <c r="F12" s="34"/>
      <c r="G12" s="35"/>
      <c r="H12" s="7">
        <v>113.62856460191924</v>
      </c>
      <c r="I12" s="9">
        <v>113.60916978139367</v>
      </c>
      <c r="J12" s="7">
        <v>118.1387758238406</v>
      </c>
      <c r="K12" s="10">
        <v>130.38418839421394</v>
      </c>
      <c r="L12" s="35"/>
      <c r="M12" s="35"/>
      <c r="N12" s="35"/>
      <c r="O12" s="35"/>
      <c r="P12" s="35"/>
      <c r="Q12" s="35"/>
      <c r="R12" s="35"/>
    </row>
    <row r="13" spans="1:18" x14ac:dyDescent="0.3">
      <c r="A13" s="28">
        <v>36068</v>
      </c>
      <c r="B13" s="7">
        <v>126.5</v>
      </c>
      <c r="C13" s="7">
        <v>118.7</v>
      </c>
      <c r="D13" s="7">
        <v>128.5</v>
      </c>
      <c r="E13" s="7">
        <v>125.1</v>
      </c>
      <c r="F13" s="34"/>
      <c r="G13" s="35"/>
      <c r="H13" s="7">
        <v>115.70965369190112</v>
      </c>
      <c r="I13" s="9">
        <v>115.6683506785824</v>
      </c>
      <c r="J13" s="7">
        <v>119.81064160838905</v>
      </c>
      <c r="K13" s="10">
        <v>131.31960377045866</v>
      </c>
      <c r="L13" s="35"/>
      <c r="M13" s="35"/>
      <c r="N13" s="35"/>
      <c r="O13" s="35"/>
      <c r="P13" s="35"/>
      <c r="Q13" s="35"/>
      <c r="R13" s="35"/>
    </row>
    <row r="14" spans="1:18" x14ac:dyDescent="0.3">
      <c r="A14" s="28">
        <v>36160</v>
      </c>
      <c r="B14" s="7">
        <v>127.7</v>
      </c>
      <c r="C14" s="7">
        <v>119.9</v>
      </c>
      <c r="D14" s="7">
        <v>127.9</v>
      </c>
      <c r="E14" s="7">
        <v>127.6</v>
      </c>
      <c r="F14" s="34"/>
      <c r="G14" s="35"/>
      <c r="H14" s="7">
        <v>117.57843370759882</v>
      </c>
      <c r="I14" s="9">
        <v>117.51308969897406</v>
      </c>
      <c r="J14" s="7">
        <v>121.51378624154735</v>
      </c>
      <c r="K14" s="10">
        <v>132.25295627309572</v>
      </c>
      <c r="L14" s="35"/>
      <c r="M14" s="35"/>
      <c r="N14" s="35"/>
      <c r="O14" s="35"/>
      <c r="P14" s="35"/>
      <c r="Q14" s="35"/>
      <c r="R14" s="35"/>
    </row>
    <row r="15" spans="1:18" x14ac:dyDescent="0.3">
      <c r="A15" s="28">
        <v>36250</v>
      </c>
      <c r="B15" s="7">
        <v>128.69999999999999</v>
      </c>
      <c r="C15" s="7">
        <v>122.5</v>
      </c>
      <c r="D15" s="7">
        <v>128.1</v>
      </c>
      <c r="E15" s="7">
        <v>125.3</v>
      </c>
      <c r="F15" s="34"/>
      <c r="G15" s="35"/>
      <c r="H15" s="7">
        <v>119.69326305951212</v>
      </c>
      <c r="I15" s="9">
        <v>119.59163150017726</v>
      </c>
      <c r="J15" s="7">
        <v>123.24494209663706</v>
      </c>
      <c r="K15" s="10">
        <v>133.18382818388966</v>
      </c>
      <c r="L15" s="35"/>
      <c r="M15" s="35"/>
      <c r="N15" s="35"/>
      <c r="O15" s="35"/>
      <c r="P15" s="35"/>
      <c r="Q15" s="35"/>
      <c r="R15" s="35"/>
    </row>
    <row r="16" spans="1:18" x14ac:dyDescent="0.3">
      <c r="A16" s="28">
        <v>36341</v>
      </c>
      <c r="B16" s="7">
        <v>129.69999999999999</v>
      </c>
      <c r="C16" s="7">
        <v>125.2</v>
      </c>
      <c r="D16" s="7">
        <v>130.6</v>
      </c>
      <c r="E16" s="7">
        <v>127.4</v>
      </c>
      <c r="F16" s="34"/>
      <c r="G16" s="35"/>
      <c r="H16" s="7">
        <v>122.01080987879183</v>
      </c>
      <c r="I16" s="9">
        <v>121.85778694783394</v>
      </c>
      <c r="J16" s="7">
        <v>124.99983293057875</v>
      </c>
      <c r="K16" s="10">
        <v>134.11177090221435</v>
      </c>
      <c r="L16" s="35"/>
      <c r="M16" s="35"/>
      <c r="N16" s="35"/>
      <c r="O16" s="35"/>
      <c r="P16" s="35"/>
      <c r="Q16" s="35"/>
      <c r="R16" s="35"/>
    </row>
    <row r="17" spans="1:18" x14ac:dyDescent="0.3">
      <c r="A17" s="28">
        <v>36433</v>
      </c>
      <c r="B17" s="7">
        <v>131.4</v>
      </c>
      <c r="C17" s="7">
        <v>126.2</v>
      </c>
      <c r="D17" s="7">
        <v>131.69999999999999</v>
      </c>
      <c r="E17" s="7">
        <v>128.69999999999999</v>
      </c>
      <c r="F17" s="34"/>
      <c r="G17" s="35"/>
      <c r="H17" s="7">
        <v>124.04474202370545</v>
      </c>
      <c r="I17" s="9">
        <v>123.84585017319131</v>
      </c>
      <c r="J17" s="7">
        <v>126.77371691148257</v>
      </c>
      <c r="K17" s="10">
        <v>135.0363091178732</v>
      </c>
      <c r="L17" s="35"/>
      <c r="M17" s="35"/>
      <c r="N17" s="35"/>
      <c r="O17" s="35"/>
      <c r="P17" s="35"/>
      <c r="Q17" s="35"/>
      <c r="R17" s="35"/>
    </row>
    <row r="18" spans="1:18" x14ac:dyDescent="0.3">
      <c r="A18" s="28">
        <v>36525</v>
      </c>
      <c r="B18" s="7">
        <v>132.30000000000001</v>
      </c>
      <c r="C18" s="7">
        <v>127.9</v>
      </c>
      <c r="D18" s="7">
        <v>133.4</v>
      </c>
      <c r="E18" s="7">
        <v>131.80000000000001</v>
      </c>
      <c r="F18" s="34"/>
      <c r="G18" s="35"/>
      <c r="H18" s="7">
        <v>126.03263971340922</v>
      </c>
      <c r="I18" s="9">
        <v>125.78563475068955</v>
      </c>
      <c r="J18" s="7">
        <v>128.56197731187709</v>
      </c>
      <c r="K18" s="10">
        <v>135.95694524124241</v>
      </c>
      <c r="L18" s="35"/>
      <c r="M18" s="35"/>
      <c r="N18" s="35"/>
      <c r="O18" s="35"/>
      <c r="P18" s="35"/>
      <c r="Q18" s="35"/>
      <c r="R18" s="35"/>
    </row>
    <row r="19" spans="1:18" x14ac:dyDescent="0.3">
      <c r="A19" s="28">
        <v>36616</v>
      </c>
      <c r="B19" s="7">
        <v>133.19999999999999</v>
      </c>
      <c r="C19" s="7">
        <v>129.4</v>
      </c>
      <c r="D19" s="7">
        <v>133.4</v>
      </c>
      <c r="E19" s="7">
        <v>133.4</v>
      </c>
      <c r="F19" s="34"/>
      <c r="G19" s="35"/>
      <c r="H19" s="7">
        <v>127.93716975781706</v>
      </c>
      <c r="I19" s="9">
        <v>127.64444174811091</v>
      </c>
      <c r="J19" s="7">
        <v>130.35963883122119</v>
      </c>
      <c r="K19" s="10">
        <v>136.87315959192537</v>
      </c>
      <c r="L19" s="35"/>
      <c r="M19" s="35"/>
      <c r="N19" s="35"/>
      <c r="O19" s="35"/>
      <c r="P19" s="35"/>
      <c r="Q19" s="35"/>
      <c r="R19" s="35"/>
    </row>
    <row r="20" spans="1:18" x14ac:dyDescent="0.3">
      <c r="A20" s="28">
        <v>36707</v>
      </c>
      <c r="B20" s="7">
        <v>134.1</v>
      </c>
      <c r="C20" s="7">
        <v>132.6</v>
      </c>
      <c r="D20" s="7">
        <v>134.9</v>
      </c>
      <c r="E20" s="7">
        <v>135.4</v>
      </c>
      <c r="F20" s="34"/>
      <c r="G20" s="35"/>
      <c r="H20" s="7">
        <v>130.16154151004156</v>
      </c>
      <c r="I20" s="9">
        <v>129.78825495051888</v>
      </c>
      <c r="J20" s="7">
        <v>132.16131243315385</v>
      </c>
      <c r="K20" s="10">
        <v>137.78441234716237</v>
      </c>
      <c r="L20" s="35"/>
      <c r="M20" s="35"/>
      <c r="N20" s="35"/>
      <c r="O20" s="35"/>
      <c r="P20" s="35"/>
      <c r="Q20" s="35"/>
      <c r="R20" s="35"/>
    </row>
    <row r="21" spans="1:18" x14ac:dyDescent="0.3">
      <c r="A21" s="28">
        <v>36799</v>
      </c>
      <c r="B21" s="7">
        <v>134.69999999999999</v>
      </c>
      <c r="C21" s="7">
        <v>134.30000000000001</v>
      </c>
      <c r="D21" s="7">
        <v>136.80000000000001</v>
      </c>
      <c r="E21" s="7">
        <v>135.1</v>
      </c>
      <c r="F21" s="34"/>
      <c r="G21" s="35"/>
      <c r="H21" s="7">
        <v>132.31295783821395</v>
      </c>
      <c r="I21" s="9">
        <v>131.86054914134135</v>
      </c>
      <c r="J21" s="7">
        <v>133.96100930704449</v>
      </c>
      <c r="K21" s="10">
        <v>138.69014500129475</v>
      </c>
      <c r="L21" s="35"/>
      <c r="M21" s="35"/>
      <c r="N21" s="35"/>
      <c r="O21" s="35"/>
      <c r="P21" s="35"/>
      <c r="Q21" s="35"/>
      <c r="R21" s="35"/>
    </row>
    <row r="22" spans="1:18" x14ac:dyDescent="0.3">
      <c r="A22" s="28">
        <v>36891</v>
      </c>
      <c r="B22" s="7">
        <v>135.19999999999999</v>
      </c>
      <c r="C22" s="7">
        <v>135.30000000000001</v>
      </c>
      <c r="D22" s="7">
        <v>137.69999999999999</v>
      </c>
      <c r="E22" s="7">
        <v>140.6</v>
      </c>
      <c r="F22" s="34"/>
      <c r="G22" s="35"/>
      <c r="H22" s="7">
        <v>134.25144447185306</v>
      </c>
      <c r="I22" s="9">
        <v>133.74532366220839</v>
      </c>
      <c r="J22" s="7">
        <v>135.7530148219918</v>
      </c>
      <c r="K22" s="10">
        <v>139.58978608763294</v>
      </c>
      <c r="L22" s="35"/>
      <c r="M22" s="35"/>
      <c r="N22" s="35"/>
      <c r="O22" s="35"/>
      <c r="P22" s="35"/>
      <c r="Q22" s="35"/>
      <c r="R22" s="35"/>
    </row>
    <row r="23" spans="1:18" x14ac:dyDescent="0.3">
      <c r="A23" s="28">
        <v>36981</v>
      </c>
      <c r="B23" s="7">
        <v>134.69999999999999</v>
      </c>
      <c r="C23" s="7">
        <v>138.9</v>
      </c>
      <c r="D23" s="7">
        <v>139.19999999999999</v>
      </c>
      <c r="E23" s="7">
        <v>141.19999999999999</v>
      </c>
      <c r="F23" s="34"/>
      <c r="G23" s="35"/>
      <c r="H23" s="7">
        <v>136.56264070535417</v>
      </c>
      <c r="I23" s="9">
        <v>135.941664593562</v>
      </c>
      <c r="J23" s="7">
        <v>137.53182621627752</v>
      </c>
      <c r="K23" s="10">
        <v>140.48275316412486</v>
      </c>
      <c r="L23" s="35"/>
      <c r="M23" s="35"/>
      <c r="N23" s="35"/>
      <c r="O23" s="35"/>
      <c r="P23" s="35"/>
      <c r="Q23" s="35"/>
      <c r="R23" s="35"/>
    </row>
    <row r="24" spans="1:18" x14ac:dyDescent="0.3">
      <c r="A24" s="28">
        <v>37072</v>
      </c>
      <c r="B24" s="7">
        <v>136.80000000000001</v>
      </c>
      <c r="C24" s="7">
        <v>139.80000000000001</v>
      </c>
      <c r="D24" s="7">
        <v>141.19999999999999</v>
      </c>
      <c r="E24" s="7">
        <v>141.69999999999999</v>
      </c>
      <c r="F24" s="34"/>
      <c r="G24" s="35"/>
      <c r="H24" s="7">
        <v>138.62377405726915</v>
      </c>
      <c r="I24" s="9">
        <v>137.92935443073597</v>
      </c>
      <c r="J24" s="7">
        <v>139.29165759391969</v>
      </c>
      <c r="K24" s="10">
        <v>141.3684530642532</v>
      </c>
      <c r="L24" s="35"/>
      <c r="M24" s="35"/>
      <c r="N24" s="35"/>
      <c r="O24" s="35"/>
      <c r="P24" s="35"/>
      <c r="Q24" s="35"/>
      <c r="R24" s="35"/>
    </row>
    <row r="25" spans="1:18" x14ac:dyDescent="0.3">
      <c r="A25" s="28">
        <v>37164</v>
      </c>
      <c r="B25" s="7">
        <v>138.9</v>
      </c>
      <c r="C25" s="7">
        <v>141.19999999999999</v>
      </c>
      <c r="D25" s="7">
        <v>141.9</v>
      </c>
      <c r="E25" s="7">
        <v>142.30000000000001</v>
      </c>
      <c r="F25" s="34"/>
      <c r="G25" s="35"/>
      <c r="H25" s="7">
        <v>140.5715631901588</v>
      </c>
      <c r="I25" s="9">
        <v>139.82803499632431</v>
      </c>
      <c r="J25" s="7">
        <v>141.02757816755118</v>
      </c>
      <c r="K25" s="10">
        <v>142.24628866461777</v>
      </c>
      <c r="L25" s="35"/>
      <c r="M25" s="35"/>
      <c r="N25" s="35"/>
      <c r="O25" s="35"/>
      <c r="P25" s="35"/>
      <c r="Q25" s="35"/>
      <c r="R25" s="35"/>
    </row>
    <row r="26" spans="1:18" x14ac:dyDescent="0.3">
      <c r="A26" s="28">
        <v>37256</v>
      </c>
      <c r="B26" s="7">
        <v>139.80000000000001</v>
      </c>
      <c r="C26" s="7">
        <v>143.80000000000001</v>
      </c>
      <c r="D26" s="7">
        <v>142.80000000000001</v>
      </c>
      <c r="E26" s="7">
        <v>141.80000000000001</v>
      </c>
      <c r="F26" s="34"/>
      <c r="G26" s="35"/>
      <c r="H26" s="7">
        <v>142.66588544417669</v>
      </c>
      <c r="I26" s="9">
        <v>141.84147804329751</v>
      </c>
      <c r="J26" s="7">
        <v>142.73497486380865</v>
      </c>
      <c r="K26" s="10">
        <v>143.11565892068569</v>
      </c>
      <c r="L26" s="35"/>
      <c r="M26" s="35"/>
      <c r="N26" s="35"/>
      <c r="O26" s="35"/>
      <c r="P26" s="35"/>
      <c r="Q26" s="35"/>
      <c r="R26" s="35"/>
    </row>
    <row r="27" spans="1:18" x14ac:dyDescent="0.3">
      <c r="A27" s="28">
        <v>37346</v>
      </c>
      <c r="B27" s="7">
        <v>140.4</v>
      </c>
      <c r="C27" s="7">
        <v>145.9</v>
      </c>
      <c r="D27" s="7">
        <v>143.19999999999999</v>
      </c>
      <c r="E27" s="7">
        <v>141.5</v>
      </c>
      <c r="F27" s="34"/>
      <c r="G27" s="35"/>
      <c r="H27" s="7">
        <v>144.78498628093473</v>
      </c>
      <c r="I27" s="9">
        <v>143.87423086971137</v>
      </c>
      <c r="J27" s="7">
        <v>144.40934237297404</v>
      </c>
      <c r="K27" s="10">
        <v>143.97596017220246</v>
      </c>
      <c r="L27" s="35"/>
      <c r="M27" s="35"/>
      <c r="N27" s="35"/>
      <c r="O27" s="35"/>
      <c r="P27" s="35"/>
      <c r="Q27" s="35"/>
      <c r="R27" s="35"/>
    </row>
    <row r="28" spans="1:18" x14ac:dyDescent="0.3">
      <c r="A28" s="28">
        <v>37437</v>
      </c>
      <c r="B28" s="7">
        <v>141.5</v>
      </c>
      <c r="C28" s="7">
        <v>148.4</v>
      </c>
      <c r="D28" s="7">
        <v>143</v>
      </c>
      <c r="E28" s="7">
        <v>143.4</v>
      </c>
      <c r="F28" s="34"/>
      <c r="G28" s="35"/>
      <c r="H28" s="7">
        <v>147.00490607305693</v>
      </c>
      <c r="I28" s="9">
        <v>145.98103712879632</v>
      </c>
      <c r="J28" s="7">
        <v>146.04684102603946</v>
      </c>
      <c r="K28" s="10">
        <v>144.8265904697663</v>
      </c>
      <c r="L28" s="35"/>
      <c r="M28" s="35"/>
      <c r="N28" s="35"/>
      <c r="O28" s="35"/>
      <c r="P28" s="35"/>
      <c r="Q28" s="35"/>
      <c r="R28" s="35"/>
    </row>
    <row r="29" spans="1:18" x14ac:dyDescent="0.3">
      <c r="A29" s="28">
        <v>37529</v>
      </c>
      <c r="B29" s="7">
        <v>142.5</v>
      </c>
      <c r="C29" s="7">
        <v>153.80000000000001</v>
      </c>
      <c r="D29" s="7">
        <v>142.6</v>
      </c>
      <c r="E29" s="7">
        <v>143.80000000000001</v>
      </c>
      <c r="F29" s="34"/>
      <c r="G29" s="35"/>
      <c r="H29" s="7">
        <v>149.89696337471571</v>
      </c>
      <c r="I29" s="9">
        <v>148.55754278746753</v>
      </c>
      <c r="J29" s="7">
        <v>147.64456281501387</v>
      </c>
      <c r="K29" s="10">
        <v>145.66695267407493</v>
      </c>
      <c r="L29" s="35"/>
      <c r="M29" s="35"/>
      <c r="N29" s="35"/>
      <c r="O29" s="35"/>
      <c r="P29" s="35"/>
      <c r="Q29" s="35"/>
      <c r="R29" s="35"/>
    </row>
    <row r="30" spans="1:18" x14ac:dyDescent="0.3">
      <c r="A30" s="28">
        <v>37621</v>
      </c>
      <c r="B30" s="7">
        <v>143.9</v>
      </c>
      <c r="C30" s="7">
        <v>153.69999999999999</v>
      </c>
      <c r="D30" s="7">
        <v>143</v>
      </c>
      <c r="E30" s="7">
        <v>144.1</v>
      </c>
      <c r="F30" s="34"/>
      <c r="G30" s="35"/>
      <c r="H30" s="7">
        <v>152.27121923347477</v>
      </c>
      <c r="I30" s="9">
        <v>150.78394609694129</v>
      </c>
      <c r="J30" s="7">
        <v>149.201070456265</v>
      </c>
      <c r="K30" s="10">
        <v>146.49645857934991</v>
      </c>
      <c r="L30" s="35"/>
      <c r="M30" s="35"/>
      <c r="N30" s="35"/>
      <c r="O30" s="35"/>
      <c r="P30" s="35"/>
      <c r="Q30" s="35"/>
      <c r="R30" s="35"/>
    </row>
    <row r="31" spans="1:18" x14ac:dyDescent="0.3">
      <c r="A31" s="28">
        <v>37711</v>
      </c>
      <c r="B31" s="7">
        <v>144.4</v>
      </c>
      <c r="C31" s="7">
        <v>151.19999999999999</v>
      </c>
      <c r="D31" s="7">
        <v>144.1</v>
      </c>
      <c r="E31" s="7">
        <v>144.5</v>
      </c>
      <c r="F31" s="34"/>
      <c r="G31" s="35"/>
      <c r="H31" s="7">
        <v>153.69652906093657</v>
      </c>
      <c r="I31" s="9">
        <v>152.39589799181113</v>
      </c>
      <c r="J31" s="7">
        <v>150.7187738144012</v>
      </c>
      <c r="K31" s="10">
        <v>147.31454031243109</v>
      </c>
      <c r="L31" s="35"/>
      <c r="M31" s="35"/>
      <c r="N31" s="35"/>
      <c r="O31" s="35"/>
      <c r="P31" s="35"/>
      <c r="Q31" s="35"/>
      <c r="R31" s="35"/>
    </row>
    <row r="32" spans="1:18" x14ac:dyDescent="0.3">
      <c r="A32" s="28">
        <v>37802</v>
      </c>
      <c r="B32" s="7">
        <v>146.80000000000001</v>
      </c>
      <c r="C32" s="7">
        <v>153.5</v>
      </c>
      <c r="D32" s="7">
        <v>144.4</v>
      </c>
      <c r="E32" s="7">
        <v>145.4</v>
      </c>
      <c r="F32" s="34"/>
      <c r="G32" s="35"/>
      <c r="H32" s="7">
        <v>155.24240657160561</v>
      </c>
      <c r="I32" s="9">
        <v>154.09275737419921</v>
      </c>
      <c r="J32" s="7">
        <v>152.20289458499562</v>
      </c>
      <c r="K32" s="10">
        <v>148.12064800901192</v>
      </c>
      <c r="L32" s="35"/>
      <c r="M32" s="35"/>
      <c r="N32" s="35"/>
      <c r="O32" s="35"/>
      <c r="P32" s="35"/>
      <c r="Q32" s="35"/>
      <c r="R32" s="35"/>
    </row>
    <row r="33" spans="1:18" x14ac:dyDescent="0.3">
      <c r="A33" s="28">
        <v>37894</v>
      </c>
      <c r="B33" s="7">
        <v>147.5</v>
      </c>
      <c r="C33" s="7">
        <v>154</v>
      </c>
      <c r="D33" s="7">
        <v>143.9</v>
      </c>
      <c r="E33" s="7">
        <v>145.19999999999999</v>
      </c>
      <c r="F33" s="34"/>
      <c r="G33" s="35"/>
      <c r="H33" s="7">
        <v>156.53957219827757</v>
      </c>
      <c r="I33" s="9">
        <v>155.64042074931524</v>
      </c>
      <c r="J33" s="7">
        <v>153.65895522998744</v>
      </c>
      <c r="K33" s="10">
        <v>148.91424151843501</v>
      </c>
      <c r="L33" s="35"/>
      <c r="M33" s="35"/>
      <c r="N33" s="35"/>
      <c r="O33" s="35"/>
      <c r="P33" s="35"/>
      <c r="Q33" s="35"/>
      <c r="R33" s="35"/>
    </row>
    <row r="34" spans="1:18" x14ac:dyDescent="0.3">
      <c r="A34" s="28">
        <v>37986</v>
      </c>
      <c r="B34" s="7">
        <v>147.6</v>
      </c>
      <c r="C34" s="7">
        <v>153.9</v>
      </c>
      <c r="D34" s="7">
        <v>142.6</v>
      </c>
      <c r="E34" s="7">
        <v>144.30000000000001</v>
      </c>
      <c r="F34" s="34"/>
      <c r="G34" s="35"/>
      <c r="H34" s="7">
        <v>157.49967983948414</v>
      </c>
      <c r="I34" s="9">
        <v>156.98701014533478</v>
      </c>
      <c r="J34" s="7">
        <v>155.09328890220021</v>
      </c>
      <c r="K34" s="10">
        <v>149.69479413842294</v>
      </c>
      <c r="L34" s="35"/>
      <c r="M34" s="35"/>
      <c r="N34" s="35"/>
      <c r="O34" s="35"/>
      <c r="P34" s="35"/>
      <c r="Q34" s="35"/>
      <c r="R34" s="35"/>
    </row>
    <row r="35" spans="1:18" x14ac:dyDescent="0.3">
      <c r="A35" s="28">
        <v>38077</v>
      </c>
      <c r="B35" s="7">
        <v>147.9</v>
      </c>
      <c r="C35" s="7">
        <v>153.6</v>
      </c>
      <c r="D35" s="7">
        <v>142.69999999999999</v>
      </c>
      <c r="E35" s="7">
        <v>141.4</v>
      </c>
      <c r="F35" s="34"/>
      <c r="G35" s="35"/>
      <c r="H35" s="7">
        <v>158.12647868943333</v>
      </c>
      <c r="I35" s="9">
        <v>158.13553823245414</v>
      </c>
      <c r="J35" s="7">
        <v>156.51244190743876</v>
      </c>
      <c r="K35" s="10">
        <v>150.46179188109448</v>
      </c>
      <c r="L35" s="35"/>
      <c r="M35" s="35"/>
      <c r="N35" s="35"/>
      <c r="O35" s="35"/>
      <c r="P35" s="35"/>
      <c r="Q35" s="35"/>
      <c r="R35" s="35"/>
    </row>
    <row r="36" spans="1:18" x14ac:dyDescent="0.3">
      <c r="A36" s="28">
        <v>38168</v>
      </c>
      <c r="B36" s="7">
        <v>148.80000000000001</v>
      </c>
      <c r="C36" s="7">
        <v>154</v>
      </c>
      <c r="D36" s="7">
        <v>144.30000000000001</v>
      </c>
      <c r="E36" s="7">
        <v>140.19999999999999</v>
      </c>
      <c r="F36" s="34"/>
      <c r="G36" s="35"/>
      <c r="H36" s="7">
        <v>158.60653078618006</v>
      </c>
      <c r="I36" s="9">
        <v>159.19063674727133</v>
      </c>
      <c r="J36" s="7">
        <v>157.92221474594402</v>
      </c>
      <c r="K36" s="10">
        <v>151.21473127158308</v>
      </c>
      <c r="L36" s="35"/>
      <c r="M36" s="35"/>
      <c r="N36" s="35"/>
      <c r="O36" s="35"/>
      <c r="P36" s="35"/>
      <c r="Q36" s="35"/>
      <c r="R36" s="35"/>
    </row>
    <row r="37" spans="1:18" x14ac:dyDescent="0.3">
      <c r="A37" s="28">
        <v>38260</v>
      </c>
      <c r="B37" s="7">
        <v>149.69999999999999</v>
      </c>
      <c r="C37" s="7">
        <v>156.5</v>
      </c>
      <c r="D37" s="7">
        <v>145</v>
      </c>
      <c r="E37" s="7">
        <v>139.19999999999999</v>
      </c>
      <c r="F37" s="34"/>
      <c r="G37" s="35"/>
      <c r="H37" s="7">
        <v>159.38888238323551</v>
      </c>
      <c r="I37" s="9">
        <v>160.39587022275072</v>
      </c>
      <c r="J37" s="7">
        <v>159.32658764176477</v>
      </c>
      <c r="K37" s="10">
        <v>151.95311668054248</v>
      </c>
      <c r="L37" s="35"/>
      <c r="M37" s="35"/>
      <c r="N37" s="35"/>
      <c r="O37" s="35"/>
      <c r="P37" s="35"/>
      <c r="Q37" s="35"/>
      <c r="R37" s="35"/>
    </row>
    <row r="38" spans="1:18" x14ac:dyDescent="0.3">
      <c r="A38" s="28">
        <v>38352</v>
      </c>
      <c r="B38" s="7">
        <v>151.19999999999999</v>
      </c>
      <c r="C38" s="7">
        <v>157.5</v>
      </c>
      <c r="D38" s="7">
        <v>145.30000000000001</v>
      </c>
      <c r="E38" s="7">
        <v>137.9</v>
      </c>
      <c r="F38" s="34"/>
      <c r="G38" s="35"/>
      <c r="H38" s="7">
        <v>160.15024717383596</v>
      </c>
      <c r="I38" s="9">
        <v>161.57228314473548</v>
      </c>
      <c r="J38" s="7">
        <v>160.72708943473356</v>
      </c>
      <c r="K38" s="10">
        <v>152.67645944179824</v>
      </c>
      <c r="L38" s="35"/>
      <c r="M38" s="35"/>
      <c r="N38" s="35"/>
      <c r="O38" s="35"/>
      <c r="P38" s="35"/>
      <c r="Q38" s="35"/>
      <c r="R38" s="35"/>
    </row>
    <row r="39" spans="1:18" x14ac:dyDescent="0.3">
      <c r="A39" s="28">
        <v>38442</v>
      </c>
      <c r="B39" s="7">
        <v>151.30000000000001</v>
      </c>
      <c r="C39" s="7">
        <v>158.19999999999999</v>
      </c>
      <c r="D39" s="7">
        <v>145.30000000000001</v>
      </c>
      <c r="E39" s="7">
        <v>136.69999999999999</v>
      </c>
      <c r="F39" s="34"/>
      <c r="G39" s="35"/>
      <c r="H39" s="7">
        <v>160.83997265231017</v>
      </c>
      <c r="I39" s="9">
        <v>162.69194837579906</v>
      </c>
      <c r="J39" s="7">
        <v>162.12348234740682</v>
      </c>
      <c r="K39" s="10">
        <v>153.38428225638424</v>
      </c>
      <c r="L39" s="35"/>
      <c r="M39" s="35"/>
      <c r="N39" s="35"/>
      <c r="O39" s="35"/>
      <c r="P39" s="35"/>
      <c r="Q39" s="35"/>
      <c r="R39" s="35"/>
    </row>
    <row r="40" spans="1:18" x14ac:dyDescent="0.3">
      <c r="A40" s="28">
        <v>38533</v>
      </c>
      <c r="B40" s="7">
        <v>152.80000000000001</v>
      </c>
      <c r="C40" s="7">
        <v>161.9</v>
      </c>
      <c r="D40" s="7">
        <v>147.6</v>
      </c>
      <c r="E40" s="7">
        <v>137.30000000000001</v>
      </c>
      <c r="F40" s="34"/>
      <c r="G40" s="35"/>
      <c r="H40" s="7">
        <v>162.07474508678666</v>
      </c>
      <c r="I40" s="9">
        <v>164.06844840993966</v>
      </c>
      <c r="J40" s="7">
        <v>163.51351167144426</v>
      </c>
      <c r="K40" s="10">
        <v>154.07611988418574</v>
      </c>
      <c r="L40" s="35"/>
      <c r="M40" s="35"/>
      <c r="N40" s="35"/>
      <c r="O40" s="35"/>
      <c r="P40" s="35"/>
      <c r="Q40" s="35"/>
      <c r="R40" s="35"/>
    </row>
    <row r="41" spans="1:18" x14ac:dyDescent="0.3">
      <c r="A41" s="28">
        <v>38625</v>
      </c>
      <c r="B41" s="7">
        <v>154.1</v>
      </c>
      <c r="C41" s="7">
        <v>163.69999999999999</v>
      </c>
      <c r="D41" s="7">
        <v>147.9</v>
      </c>
      <c r="E41" s="7">
        <v>137</v>
      </c>
      <c r="F41" s="34"/>
      <c r="G41" s="35"/>
      <c r="H41" s="7">
        <v>163.41903928825221</v>
      </c>
      <c r="I41" s="9">
        <v>165.48389934152746</v>
      </c>
      <c r="J41" s="7">
        <v>164.89247052203848</v>
      </c>
      <c r="K41" s="10">
        <v>154.75151912438238</v>
      </c>
      <c r="L41" s="35"/>
      <c r="M41" s="35"/>
      <c r="N41" s="35"/>
      <c r="O41" s="35"/>
      <c r="P41" s="35"/>
      <c r="Q41" s="35"/>
      <c r="R41" s="35"/>
    </row>
    <row r="42" spans="1:18" x14ac:dyDescent="0.3">
      <c r="A42" s="28">
        <v>38717</v>
      </c>
      <c r="B42" s="7">
        <v>155.5</v>
      </c>
      <c r="C42" s="7">
        <v>165</v>
      </c>
      <c r="D42" s="7">
        <v>149.30000000000001</v>
      </c>
      <c r="E42" s="7">
        <v>136.4</v>
      </c>
      <c r="F42" s="34"/>
      <c r="G42" s="35"/>
      <c r="H42" s="7">
        <v>164.76072922031582</v>
      </c>
      <c r="I42" s="9">
        <v>166.88538944455618</v>
      </c>
      <c r="J42" s="7">
        <v>166.25464356958742</v>
      </c>
      <c r="K42" s="10">
        <v>155.4100463358541</v>
      </c>
      <c r="L42" s="35"/>
      <c r="M42" s="35"/>
      <c r="N42" s="35"/>
      <c r="O42" s="35"/>
      <c r="P42" s="35"/>
      <c r="Q42" s="35"/>
      <c r="R42" s="35"/>
    </row>
    <row r="43" spans="1:18" x14ac:dyDescent="0.3">
      <c r="A43" s="28">
        <v>38807</v>
      </c>
      <c r="B43" s="7">
        <v>157.1</v>
      </c>
      <c r="C43" s="7">
        <v>165.9</v>
      </c>
      <c r="D43" s="7">
        <v>150</v>
      </c>
      <c r="E43" s="7">
        <v>136.69999999999999</v>
      </c>
      <c r="F43" s="34"/>
      <c r="G43" s="35"/>
      <c r="H43" s="7">
        <v>166.01913883114744</v>
      </c>
      <c r="I43" s="9">
        <v>168.23623280948033</v>
      </c>
      <c r="J43" s="7">
        <v>167.59357019041275</v>
      </c>
      <c r="K43" s="10">
        <v>156.05129024868307</v>
      </c>
      <c r="L43" s="35"/>
      <c r="M43" s="35"/>
      <c r="N43" s="35"/>
      <c r="O43" s="35"/>
      <c r="P43" s="35"/>
      <c r="Q43" s="35"/>
      <c r="R43" s="35"/>
    </row>
    <row r="44" spans="1:18" x14ac:dyDescent="0.3">
      <c r="A44" s="28">
        <v>38898</v>
      </c>
      <c r="B44" s="7">
        <v>159</v>
      </c>
      <c r="C44" s="7">
        <v>168.3</v>
      </c>
      <c r="D44" s="7">
        <v>151.6</v>
      </c>
      <c r="E44" s="7">
        <v>136.9</v>
      </c>
      <c r="F44" s="34"/>
      <c r="G44" s="35"/>
      <c r="H44" s="7">
        <v>167.5039458508995</v>
      </c>
      <c r="I44" s="9">
        <v>169.68178388617338</v>
      </c>
      <c r="J44" s="7">
        <v>168.90200560860518</v>
      </c>
      <c r="K44" s="10">
        <v>156.67486356783559</v>
      </c>
      <c r="L44" s="35"/>
      <c r="M44" s="35"/>
      <c r="N44" s="35"/>
      <c r="O44" s="35"/>
      <c r="P44" s="35"/>
      <c r="Q44" s="35"/>
      <c r="R44" s="35"/>
    </row>
    <row r="45" spans="1:18" x14ac:dyDescent="0.3">
      <c r="A45" s="28">
        <v>38990</v>
      </c>
      <c r="B45" s="7">
        <v>160.4</v>
      </c>
      <c r="C45" s="7">
        <v>171.6</v>
      </c>
      <c r="D45" s="7">
        <v>152.19999999999999</v>
      </c>
      <c r="E45" s="7">
        <v>136.30000000000001</v>
      </c>
      <c r="F45" s="34"/>
      <c r="G45" s="35"/>
      <c r="H45" s="7">
        <v>169.3707434845978</v>
      </c>
      <c r="I45" s="9">
        <v>171.29508256289614</v>
      </c>
      <c r="J45" s="7">
        <v>170.17164656688644</v>
      </c>
      <c r="K45" s="10">
        <v>157.28040362005228</v>
      </c>
      <c r="L45" s="35"/>
      <c r="M45" s="35"/>
      <c r="N45" s="35"/>
      <c r="O45" s="35"/>
      <c r="P45" s="35"/>
      <c r="Q45" s="35"/>
      <c r="R45" s="35"/>
    </row>
    <row r="46" spans="1:18" x14ac:dyDescent="0.3">
      <c r="A46" s="28">
        <v>39082</v>
      </c>
      <c r="B46" s="7">
        <v>162.1</v>
      </c>
      <c r="C46" s="7">
        <v>171.7</v>
      </c>
      <c r="D46" s="7">
        <v>153.30000000000001</v>
      </c>
      <c r="E46" s="7">
        <v>134.6</v>
      </c>
      <c r="F46" s="34"/>
      <c r="G46" s="35"/>
      <c r="H46" s="7">
        <v>170.93289993146794</v>
      </c>
      <c r="I46" s="9">
        <v>172.77314542408593</v>
      </c>
      <c r="J46" s="7">
        <v>171.39381355447284</v>
      </c>
      <c r="K46" s="10">
        <v>157.86757679491487</v>
      </c>
      <c r="L46" s="35"/>
      <c r="M46" s="35"/>
      <c r="N46" s="35"/>
      <c r="O46" s="35"/>
      <c r="P46" s="35"/>
      <c r="Q46" s="35"/>
      <c r="R46" s="35"/>
    </row>
    <row r="47" spans="1:18" x14ac:dyDescent="0.3">
      <c r="A47" s="28">
        <v>39172</v>
      </c>
      <c r="B47" s="7">
        <v>163.19999999999999</v>
      </c>
      <c r="C47" s="7">
        <v>170.2</v>
      </c>
      <c r="D47" s="7">
        <v>154</v>
      </c>
      <c r="E47" s="7">
        <v>132.1</v>
      </c>
      <c r="F47" s="34"/>
      <c r="G47" s="35"/>
      <c r="H47" s="7">
        <v>171.89788928129664</v>
      </c>
      <c r="I47" s="9">
        <v>173.98808260181224</v>
      </c>
      <c r="J47" s="7">
        <v>172.56071978147642</v>
      </c>
      <c r="K47" s="10">
        <v>158.43608528099602</v>
      </c>
      <c r="L47" s="35"/>
      <c r="M47" s="35"/>
      <c r="N47" s="35"/>
      <c r="O47" s="35"/>
      <c r="P47" s="35"/>
      <c r="Q47" s="35"/>
      <c r="R47" s="35"/>
    </row>
    <row r="48" spans="1:18" x14ac:dyDescent="0.3">
      <c r="A48" s="28">
        <v>39263</v>
      </c>
      <c r="B48" s="7">
        <v>165.7</v>
      </c>
      <c r="C48" s="7">
        <v>170.8</v>
      </c>
      <c r="D48" s="7">
        <v>156.30000000000001</v>
      </c>
      <c r="E48" s="7">
        <v>131.19999999999999</v>
      </c>
      <c r="F48" s="34"/>
      <c r="G48" s="35"/>
      <c r="H48" s="7">
        <v>172.75171821976869</v>
      </c>
      <c r="I48" s="9">
        <v>175.1450690327608</v>
      </c>
      <c r="J48" s="7">
        <v>173.66476982453767</v>
      </c>
      <c r="K48" s="10">
        <v>158.98566584792641</v>
      </c>
      <c r="L48" s="35"/>
      <c r="M48" s="35"/>
      <c r="N48" s="35"/>
      <c r="O48" s="35"/>
      <c r="P48" s="35"/>
      <c r="Q48" s="35"/>
      <c r="R48" s="35"/>
    </row>
    <row r="49" spans="1:18" x14ac:dyDescent="0.3">
      <c r="A49" s="28">
        <v>39355</v>
      </c>
      <c r="B49" s="7">
        <v>167.5</v>
      </c>
      <c r="C49" s="7">
        <v>174.1</v>
      </c>
      <c r="D49" s="7">
        <v>157</v>
      </c>
      <c r="E49" s="7">
        <v>129.5</v>
      </c>
      <c r="F49" s="34"/>
      <c r="G49" s="35"/>
      <c r="H49" s="7">
        <v>174.05261834634169</v>
      </c>
      <c r="I49" s="9">
        <v>176.47777475543779</v>
      </c>
      <c r="J49" s="7">
        <v>174.69689281043367</v>
      </c>
      <c r="K49" s="10">
        <v>159.51608467512349</v>
      </c>
      <c r="L49" s="35"/>
      <c r="M49" s="35"/>
      <c r="N49" s="35"/>
      <c r="O49" s="35"/>
      <c r="P49" s="35"/>
      <c r="Q49" s="35"/>
      <c r="R49" s="35"/>
    </row>
    <row r="50" spans="1:18" x14ac:dyDescent="0.3">
      <c r="A50" s="28">
        <v>39447</v>
      </c>
      <c r="B50" s="7">
        <v>168.8</v>
      </c>
      <c r="C50" s="7">
        <v>175.5</v>
      </c>
      <c r="D50" s="7">
        <v>156.9</v>
      </c>
      <c r="E50" s="7">
        <v>129.30000000000001</v>
      </c>
      <c r="F50" s="34"/>
      <c r="G50" s="35"/>
      <c r="H50" s="7">
        <v>175.37445524540092</v>
      </c>
      <c r="I50" s="9">
        <v>177.81306497291203</v>
      </c>
      <c r="J50" s="7">
        <v>175.64622738480116</v>
      </c>
      <c r="K50" s="10">
        <v>160.02713747784011</v>
      </c>
      <c r="L50" s="35"/>
      <c r="M50" s="35"/>
      <c r="N50" s="35"/>
      <c r="O50" s="35"/>
      <c r="P50" s="35"/>
      <c r="Q50" s="35"/>
      <c r="R50" s="35"/>
    </row>
    <row r="51" spans="1:18" x14ac:dyDescent="0.3">
      <c r="A51" s="28">
        <v>39538</v>
      </c>
      <c r="B51" s="7">
        <v>169.5</v>
      </c>
      <c r="C51" s="7">
        <v>178.5</v>
      </c>
      <c r="D51" s="7">
        <v>157.5</v>
      </c>
      <c r="E51" s="7">
        <v>128.1</v>
      </c>
      <c r="F51" s="34"/>
      <c r="G51" s="35"/>
      <c r="H51" s="7">
        <v>177.035700597806</v>
      </c>
      <c r="I51" s="9">
        <v>179.28135174259893</v>
      </c>
      <c r="J51" s="7">
        <v>176.50153913527038</v>
      </c>
      <c r="K51" s="10">
        <v>160.51865643111736</v>
      </c>
      <c r="L51" s="35"/>
      <c r="M51" s="35"/>
      <c r="N51" s="35"/>
      <c r="O51" s="35"/>
      <c r="P51" s="35"/>
      <c r="Q51" s="35"/>
      <c r="R51" s="35"/>
    </row>
    <row r="52" spans="1:18" x14ac:dyDescent="0.3">
      <c r="A52" s="28">
        <v>39629</v>
      </c>
      <c r="B52" s="7">
        <v>169.3</v>
      </c>
      <c r="C52" s="7">
        <v>178</v>
      </c>
      <c r="D52" s="7">
        <v>160.5</v>
      </c>
      <c r="E52" s="7">
        <v>127.9</v>
      </c>
      <c r="F52" s="34"/>
      <c r="G52" s="35"/>
      <c r="H52" s="7">
        <v>178.29618325698365</v>
      </c>
      <c r="I52" s="9">
        <v>180.59073709019322</v>
      </c>
      <c r="J52" s="7">
        <v>177.25150225735601</v>
      </c>
      <c r="K52" s="10">
        <v>160.99051239215265</v>
      </c>
      <c r="L52" s="35"/>
      <c r="M52" s="35"/>
      <c r="N52" s="35"/>
      <c r="O52" s="35"/>
      <c r="P52" s="35"/>
      <c r="Q52" s="35"/>
      <c r="R52" s="35"/>
    </row>
    <row r="53" spans="1:18" x14ac:dyDescent="0.3">
      <c r="A53" s="28">
        <v>39721</v>
      </c>
      <c r="B53" s="7">
        <v>169.9</v>
      </c>
      <c r="C53" s="7">
        <v>178.7</v>
      </c>
      <c r="D53" s="7">
        <v>163</v>
      </c>
      <c r="E53" s="7">
        <v>128.19999999999999</v>
      </c>
      <c r="F53" s="34"/>
      <c r="G53" s="35"/>
      <c r="H53" s="7">
        <v>179.43763166751936</v>
      </c>
      <c r="I53" s="9">
        <v>181.84886721232661</v>
      </c>
      <c r="J53" s="7">
        <v>177.88603998461321</v>
      </c>
      <c r="K53" s="10">
        <v>161.44262117150228</v>
      </c>
      <c r="L53" s="35"/>
      <c r="M53" s="35"/>
      <c r="N53" s="35"/>
      <c r="O53" s="35"/>
      <c r="P53" s="35"/>
      <c r="Q53" s="35"/>
      <c r="R53" s="35"/>
    </row>
    <row r="54" spans="1:18" x14ac:dyDescent="0.3">
      <c r="A54" s="28">
        <v>39813</v>
      </c>
      <c r="B54" s="7">
        <v>168.7</v>
      </c>
      <c r="C54" s="7">
        <v>184.8</v>
      </c>
      <c r="D54" s="7">
        <v>164.2</v>
      </c>
      <c r="E54" s="7">
        <v>129.9</v>
      </c>
      <c r="F54" s="34"/>
      <c r="G54" s="35"/>
      <c r="H54" s="7">
        <v>181.55710502672386</v>
      </c>
      <c r="I54" s="9">
        <v>183.47922751334755</v>
      </c>
      <c r="J54" s="7">
        <v>178.39554336168626</v>
      </c>
      <c r="K54" s="10">
        <v>161.87494110344159</v>
      </c>
      <c r="L54" s="35"/>
      <c r="M54" s="35"/>
      <c r="N54" s="35"/>
      <c r="O54" s="35"/>
      <c r="P54" s="35"/>
      <c r="Q54" s="35"/>
      <c r="R54" s="35"/>
    </row>
    <row r="55" spans="1:18" x14ac:dyDescent="0.3">
      <c r="A55" s="28">
        <v>39903</v>
      </c>
      <c r="B55" s="7">
        <v>168.1</v>
      </c>
      <c r="C55" s="7">
        <v>184.4</v>
      </c>
      <c r="D55" s="7">
        <v>166.5</v>
      </c>
      <c r="E55" s="7">
        <v>131.4</v>
      </c>
      <c r="F55" s="34"/>
      <c r="G55" s="35"/>
      <c r="H55" s="7">
        <v>183.24374639420319</v>
      </c>
      <c r="I55" s="9">
        <v>184.95592484526301</v>
      </c>
      <c r="J55" s="7">
        <v>178.77091215822912</v>
      </c>
      <c r="K55" s="10">
        <v>162.287473665693</v>
      </c>
      <c r="L55" s="35"/>
      <c r="M55" s="35"/>
      <c r="N55" s="35"/>
      <c r="O55" s="35"/>
      <c r="P55" s="35"/>
      <c r="Q55" s="35"/>
      <c r="R55" s="35"/>
    </row>
    <row r="56" spans="1:18" x14ac:dyDescent="0.3">
      <c r="A56" s="28">
        <v>39994</v>
      </c>
      <c r="B56" s="7">
        <v>168.8</v>
      </c>
      <c r="C56" s="7">
        <v>181</v>
      </c>
      <c r="D56" s="7">
        <v>168.8</v>
      </c>
      <c r="E56" s="7">
        <v>133</v>
      </c>
      <c r="F56" s="34"/>
      <c r="G56" s="35"/>
      <c r="H56" s="7">
        <v>183.93605292532865</v>
      </c>
      <c r="I56" s="9">
        <v>186.06465315580633</v>
      </c>
      <c r="J56" s="7">
        <v>179.00704892929465</v>
      </c>
      <c r="K56" s="10">
        <v>162.68027764862617</v>
      </c>
      <c r="L56" s="35"/>
      <c r="M56" s="35"/>
      <c r="N56" s="35"/>
      <c r="O56" s="35"/>
      <c r="P56" s="35"/>
      <c r="Q56" s="35"/>
      <c r="R56" s="35"/>
    </row>
    <row r="57" spans="1:18" x14ac:dyDescent="0.3">
      <c r="A57" s="28">
        <v>40086</v>
      </c>
      <c r="B57" s="7">
        <v>169</v>
      </c>
      <c r="C57" s="7">
        <v>184.7</v>
      </c>
      <c r="D57" s="7">
        <v>170.5</v>
      </c>
      <c r="E57" s="7">
        <v>133.30000000000001</v>
      </c>
      <c r="F57" s="34"/>
      <c r="G57" s="35"/>
      <c r="H57" s="7">
        <v>185.16595447438317</v>
      </c>
      <c r="I57" s="9">
        <v>187.35970522936788</v>
      </c>
      <c r="J57" s="7">
        <v>179.10237440983693</v>
      </c>
      <c r="K57" s="10">
        <v>163.05346712392659</v>
      </c>
      <c r="L57" s="35"/>
      <c r="M57" s="35"/>
      <c r="N57" s="35"/>
      <c r="O57" s="35"/>
      <c r="P57" s="35"/>
      <c r="Q57" s="35"/>
      <c r="R57" s="35"/>
    </row>
    <row r="58" spans="1:18" x14ac:dyDescent="0.3">
      <c r="A58" s="28">
        <v>40178</v>
      </c>
      <c r="B58" s="7">
        <v>167.4</v>
      </c>
      <c r="C58" s="7">
        <v>184.5</v>
      </c>
      <c r="D58" s="7">
        <v>172.1</v>
      </c>
      <c r="E58" s="7">
        <v>134</v>
      </c>
      <c r="F58" s="34"/>
      <c r="G58" s="35"/>
      <c r="H58" s="7">
        <v>186.09866301745353</v>
      </c>
      <c r="I58" s="9">
        <v>188.54219663895643</v>
      </c>
      <c r="J58" s="7">
        <v>179.05655492922912</v>
      </c>
      <c r="K58" s="10">
        <v>163.40720196258565</v>
      </c>
      <c r="L58" s="35"/>
      <c r="M58" s="35"/>
      <c r="N58" s="35"/>
      <c r="O58" s="35"/>
      <c r="P58" s="35"/>
      <c r="Q58" s="35"/>
      <c r="R58" s="35"/>
    </row>
    <row r="59" spans="1:18" x14ac:dyDescent="0.3">
      <c r="A59" s="28">
        <v>40268</v>
      </c>
      <c r="B59" s="7">
        <v>165.5</v>
      </c>
      <c r="C59" s="7">
        <v>185.4</v>
      </c>
      <c r="D59" s="7">
        <v>172.1</v>
      </c>
      <c r="E59" s="7">
        <v>132.80000000000001</v>
      </c>
      <c r="F59" s="34"/>
      <c r="G59" s="35"/>
      <c r="H59" s="7">
        <v>186.98907810130504</v>
      </c>
      <c r="I59" s="9">
        <v>189.69952342967952</v>
      </c>
      <c r="J59" s="7">
        <v>178.87275533283832</v>
      </c>
      <c r="K59" s="10">
        <v>163.7416961519269</v>
      </c>
      <c r="L59" s="35"/>
      <c r="M59" s="35"/>
      <c r="N59" s="35"/>
      <c r="O59" s="35"/>
      <c r="P59" s="35"/>
      <c r="Q59" s="35"/>
      <c r="R59" s="35"/>
    </row>
    <row r="60" spans="1:18" x14ac:dyDescent="0.3">
      <c r="A60" s="28">
        <v>40359</v>
      </c>
      <c r="B60" s="7">
        <v>162.9</v>
      </c>
      <c r="C60" s="7">
        <v>181.3</v>
      </c>
      <c r="D60" s="7">
        <v>171.7</v>
      </c>
      <c r="E60" s="7">
        <v>132.6</v>
      </c>
      <c r="F60" s="34"/>
      <c r="G60" s="35"/>
      <c r="H60" s="7">
        <v>186.84311115690397</v>
      </c>
      <c r="I60" s="9">
        <v>190.47725225184726</v>
      </c>
      <c r="J60" s="7">
        <v>178.55754261920083</v>
      </c>
      <c r="K60" s="10">
        <v>164.057216411269</v>
      </c>
      <c r="L60" s="35"/>
      <c r="M60" s="35"/>
      <c r="N60" s="35"/>
      <c r="O60" s="35"/>
      <c r="P60" s="35"/>
      <c r="Q60" s="35"/>
      <c r="R60" s="35"/>
    </row>
    <row r="61" spans="1:18" x14ac:dyDescent="0.3">
      <c r="A61" s="28">
        <v>40451</v>
      </c>
      <c r="B61" s="7">
        <v>160.80000000000001</v>
      </c>
      <c r="C61" s="7">
        <v>180.7</v>
      </c>
      <c r="D61" s="7">
        <v>171.4</v>
      </c>
      <c r="E61" s="7">
        <v>131.69999999999999</v>
      </c>
      <c r="F61" s="34"/>
      <c r="G61" s="35"/>
      <c r="H61" s="7">
        <v>186.48218179606198</v>
      </c>
      <c r="I61" s="9">
        <v>191.14726729576824</v>
      </c>
      <c r="J61" s="7">
        <v>178.12156331476996</v>
      </c>
      <c r="K61" s="10">
        <v>164.35408360569019</v>
      </c>
      <c r="L61" s="35"/>
      <c r="M61" s="35"/>
      <c r="N61" s="35"/>
      <c r="O61" s="35"/>
      <c r="P61" s="35"/>
      <c r="Q61" s="35"/>
      <c r="R61" s="35"/>
    </row>
    <row r="62" spans="1:18" x14ac:dyDescent="0.3">
      <c r="A62" s="28">
        <v>40543</v>
      </c>
      <c r="B62" s="7">
        <v>158.6</v>
      </c>
      <c r="C62" s="7">
        <v>176</v>
      </c>
      <c r="D62" s="7">
        <v>172.6</v>
      </c>
      <c r="E62" s="7">
        <v>129.6</v>
      </c>
      <c r="F62" s="34"/>
      <c r="G62" s="35"/>
      <c r="H62" s="7">
        <v>185.12177559364432</v>
      </c>
      <c r="I62" s="9">
        <v>191.43191125143875</v>
      </c>
      <c r="J62" s="7">
        <v>177.57717798186201</v>
      </c>
      <c r="K62" s="10">
        <v>164.6326617072277</v>
      </c>
      <c r="L62" s="35"/>
      <c r="M62" s="35"/>
      <c r="N62" s="35"/>
      <c r="O62" s="35"/>
      <c r="P62" s="35"/>
      <c r="Q62" s="35"/>
      <c r="R62" s="35"/>
    </row>
    <row r="63" spans="1:18" x14ac:dyDescent="0.3">
      <c r="A63" s="28">
        <v>40633</v>
      </c>
      <c r="B63" s="7">
        <v>156.9</v>
      </c>
      <c r="C63" s="7">
        <v>174.7</v>
      </c>
      <c r="D63" s="7">
        <v>172.9</v>
      </c>
      <c r="E63" s="7">
        <v>125.5</v>
      </c>
      <c r="F63" s="34"/>
      <c r="G63" s="35"/>
      <c r="H63" s="7">
        <v>183.56958646907012</v>
      </c>
      <c r="I63" s="9">
        <v>191.58956506086</v>
      </c>
      <c r="J63" s="7">
        <v>176.93835870572158</v>
      </c>
      <c r="K63" s="10">
        <v>164.89335555270975</v>
      </c>
      <c r="L63" s="35"/>
      <c r="M63" s="35"/>
      <c r="N63" s="35"/>
      <c r="O63" s="35"/>
      <c r="P63" s="35"/>
      <c r="Q63" s="35"/>
      <c r="R63" s="35"/>
    </row>
    <row r="64" spans="1:18" x14ac:dyDescent="0.3">
      <c r="A64" s="28">
        <v>40724</v>
      </c>
      <c r="B64" s="7">
        <v>155.4</v>
      </c>
      <c r="C64" s="7">
        <v>174.2</v>
      </c>
      <c r="D64" s="7">
        <v>175.4</v>
      </c>
      <c r="E64" s="7">
        <v>124.3</v>
      </c>
      <c r="F64" s="34"/>
      <c r="G64" s="35"/>
      <c r="H64" s="7">
        <v>182.03015953456614</v>
      </c>
      <c r="I64" s="9">
        <v>191.68262197576919</v>
      </c>
      <c r="J64" s="7">
        <v>176.21809183535458</v>
      </c>
      <c r="K64" s="10">
        <v>165.13659839731028</v>
      </c>
      <c r="L64" s="35"/>
      <c r="M64" s="35"/>
      <c r="N64" s="35"/>
      <c r="O64" s="35"/>
      <c r="P64" s="35"/>
      <c r="Q64" s="35"/>
      <c r="R64" s="35"/>
    </row>
    <row r="65" spans="1:18" x14ac:dyDescent="0.3">
      <c r="A65" s="28">
        <v>40816</v>
      </c>
      <c r="B65" s="7">
        <v>154.6</v>
      </c>
      <c r="C65" s="7">
        <v>173.2</v>
      </c>
      <c r="D65" s="7">
        <v>177.5</v>
      </c>
      <c r="E65" s="7">
        <v>124.8</v>
      </c>
      <c r="F65" s="34"/>
      <c r="G65" s="35"/>
      <c r="H65" s="7">
        <v>180.42389098922166</v>
      </c>
      <c r="I65" s="9">
        <v>191.68159804742356</v>
      </c>
      <c r="J65" s="7">
        <v>175.42796474557585</v>
      </c>
      <c r="K65" s="10">
        <v>165.36284801281431</v>
      </c>
      <c r="L65" s="35"/>
      <c r="M65" s="35"/>
      <c r="N65" s="35"/>
      <c r="O65" s="35"/>
      <c r="P65" s="35"/>
      <c r="Q65" s="35"/>
      <c r="R65" s="35"/>
    </row>
    <row r="66" spans="1:18" x14ac:dyDescent="0.3">
      <c r="A66" s="28">
        <v>40908</v>
      </c>
      <c r="B66" s="7">
        <v>153.80000000000001</v>
      </c>
      <c r="C66" s="7">
        <v>171.7</v>
      </c>
      <c r="D66" s="7">
        <v>178.8</v>
      </c>
      <c r="E66" s="7">
        <v>124.6</v>
      </c>
      <c r="F66" s="34"/>
      <c r="G66" s="35"/>
      <c r="H66" s="7">
        <v>178.67745991731061</v>
      </c>
      <c r="I66" s="9">
        <v>191.55906522420892</v>
      </c>
      <c r="J66" s="7">
        <v>174.57830350380311</v>
      </c>
      <c r="K66" s="10">
        <v>165.57258482951093</v>
      </c>
      <c r="L66" s="35"/>
      <c r="M66" s="35"/>
      <c r="N66" s="35"/>
      <c r="O66" s="35"/>
      <c r="P66" s="35"/>
      <c r="Q66" s="35"/>
      <c r="R66" s="35"/>
    </row>
    <row r="67" spans="1:18" x14ac:dyDescent="0.3">
      <c r="A67" s="28">
        <v>40999</v>
      </c>
      <c r="B67" s="7">
        <v>152.19999999999999</v>
      </c>
      <c r="C67" s="7">
        <v>174</v>
      </c>
      <c r="D67" s="7">
        <v>180.7</v>
      </c>
      <c r="E67" s="7">
        <v>124</v>
      </c>
      <c r="F67" s="34"/>
      <c r="G67" s="35"/>
      <c r="H67" s="7">
        <v>177.5865998629962</v>
      </c>
      <c r="I67" s="9">
        <v>191.57203647535806</v>
      </c>
      <c r="J67" s="7">
        <v>173.67804169948815</v>
      </c>
      <c r="K67" s="10">
        <v>165.76630887056916</v>
      </c>
      <c r="L67" s="35"/>
      <c r="M67" s="35"/>
      <c r="N67" s="35"/>
      <c r="O67" s="35"/>
      <c r="P67" s="35"/>
      <c r="Q67" s="35"/>
      <c r="R67" s="35"/>
    </row>
    <row r="68" spans="1:18" x14ac:dyDescent="0.3">
      <c r="A68" s="28">
        <v>41090</v>
      </c>
      <c r="B68" s="7">
        <v>151.1</v>
      </c>
      <c r="C68" s="7">
        <v>174.9</v>
      </c>
      <c r="D68" s="7">
        <v>182.6</v>
      </c>
      <c r="E68" s="7">
        <v>124.4</v>
      </c>
      <c r="F68" s="34"/>
      <c r="G68" s="35"/>
      <c r="H68" s="7">
        <v>176.81484854906756</v>
      </c>
      <c r="I68" s="9">
        <v>191.62166386805083</v>
      </c>
      <c r="J68" s="7">
        <v>172.73431398239288</v>
      </c>
      <c r="K68" s="10">
        <v>165.94453547769598</v>
      </c>
      <c r="L68" s="35"/>
      <c r="M68" s="35"/>
      <c r="N68" s="35"/>
      <c r="O68" s="35"/>
      <c r="P68" s="35"/>
      <c r="Q68" s="35"/>
      <c r="R68" s="35"/>
    </row>
    <row r="69" spans="1:18" x14ac:dyDescent="0.3">
      <c r="A69" s="28">
        <v>41182</v>
      </c>
      <c r="B69" s="7">
        <v>150.69999999999999</v>
      </c>
      <c r="C69" s="7">
        <v>175</v>
      </c>
      <c r="D69" s="7">
        <v>182.5</v>
      </c>
      <c r="E69" s="7">
        <v>124.2</v>
      </c>
      <c r="F69" s="34"/>
      <c r="G69" s="35"/>
      <c r="H69" s="7">
        <v>176.17513008034376</v>
      </c>
      <c r="I69" s="9">
        <v>191.65439669646253</v>
      </c>
      <c r="J69" s="7">
        <v>171.75445622621703</v>
      </c>
      <c r="K69" s="10">
        <v>166.10780057682621</v>
      </c>
      <c r="L69" s="35"/>
      <c r="M69" s="35"/>
      <c r="N69" s="35"/>
      <c r="O69" s="35"/>
      <c r="P69" s="35"/>
      <c r="Q69" s="35"/>
      <c r="R69" s="35"/>
    </row>
    <row r="70" spans="1:18" x14ac:dyDescent="0.3">
      <c r="A70" s="28">
        <v>41274</v>
      </c>
      <c r="B70" s="7">
        <v>150.30000000000001</v>
      </c>
      <c r="C70" s="7">
        <v>172.6</v>
      </c>
      <c r="D70" s="7">
        <v>182.9</v>
      </c>
      <c r="E70" s="7">
        <v>123.8</v>
      </c>
      <c r="F70" s="34"/>
      <c r="G70" s="35"/>
      <c r="H70" s="7">
        <v>175.15610821675443</v>
      </c>
      <c r="I70" s="9">
        <v>191.51158522438138</v>
      </c>
      <c r="J70" s="7">
        <v>170.74715785842133</v>
      </c>
      <c r="K70" s="10">
        <v>166.25666248255592</v>
      </c>
      <c r="L70" s="35"/>
      <c r="M70" s="35"/>
      <c r="N70" s="35"/>
      <c r="O70" s="35"/>
      <c r="P70" s="35"/>
      <c r="Q70" s="35"/>
      <c r="R70" s="35"/>
    </row>
    <row r="71" spans="1:18" x14ac:dyDescent="0.3">
      <c r="A71" s="28">
        <v>41364</v>
      </c>
      <c r="B71" s="7">
        <v>149.19999999999999</v>
      </c>
      <c r="C71" s="7">
        <v>170</v>
      </c>
      <c r="D71" s="7">
        <v>182.8</v>
      </c>
      <c r="E71" s="7">
        <v>123.6</v>
      </c>
      <c r="F71" s="34"/>
      <c r="G71" s="35"/>
      <c r="H71" s="7">
        <v>173.76287455513616</v>
      </c>
      <c r="I71" s="9">
        <v>191.19017809067267</v>
      </c>
      <c r="J71" s="7">
        <v>169.72313677132507</v>
      </c>
      <c r="K71" s="10">
        <v>166.39170173997979</v>
      </c>
      <c r="L71" s="35"/>
      <c r="M71" s="35"/>
      <c r="N71" s="35"/>
      <c r="O71" s="35"/>
      <c r="P71" s="35"/>
      <c r="Q71" s="35"/>
      <c r="R71" s="35"/>
    </row>
    <row r="72" spans="1:18" x14ac:dyDescent="0.3">
      <c r="A72" s="28">
        <v>41455</v>
      </c>
      <c r="B72" s="7">
        <v>149.19999999999999</v>
      </c>
      <c r="C72" s="7">
        <v>171.2</v>
      </c>
      <c r="D72" s="7">
        <v>181.4</v>
      </c>
      <c r="E72" s="7">
        <v>124.3</v>
      </c>
      <c r="F72" s="34"/>
      <c r="G72" s="35"/>
      <c r="H72" s="7">
        <v>172.80561927733277</v>
      </c>
      <c r="I72" s="9">
        <v>190.93834240098695</v>
      </c>
      <c r="J72" s="7">
        <v>168.69426888358606</v>
      </c>
      <c r="K72" s="10">
        <v>166.51351475253628</v>
      </c>
      <c r="L72" s="35"/>
      <c r="M72" s="35"/>
      <c r="N72" s="35"/>
      <c r="O72" s="35"/>
      <c r="P72" s="35"/>
      <c r="Q72" s="35"/>
      <c r="R72" s="35"/>
    </row>
    <row r="73" spans="1:18" x14ac:dyDescent="0.3">
      <c r="A73" s="28">
        <v>41547</v>
      </c>
      <c r="B73" s="7">
        <v>149.30000000000001</v>
      </c>
      <c r="C73" s="7">
        <v>168.6</v>
      </c>
      <c r="D73" s="7">
        <v>181.9</v>
      </c>
      <c r="E73" s="7">
        <v>124.4</v>
      </c>
      <c r="F73" s="34"/>
      <c r="G73" s="35"/>
      <c r="H73" s="7">
        <v>171.48301082470795</v>
      </c>
      <c r="I73" s="9">
        <v>190.51594656431936</v>
      </c>
      <c r="J73" s="7">
        <v>167.67260315338001</v>
      </c>
      <c r="K73" s="10">
        <v>166.62270694440952</v>
      </c>
      <c r="L73" s="35"/>
      <c r="M73" s="35"/>
      <c r="N73" s="35"/>
      <c r="O73" s="35"/>
      <c r="P73" s="35"/>
      <c r="Q73" s="35"/>
      <c r="R73" s="35"/>
    </row>
    <row r="74" spans="1:18" x14ac:dyDescent="0.3">
      <c r="A74" s="28">
        <v>41639</v>
      </c>
      <c r="B74" s="7">
        <v>149.4</v>
      </c>
      <c r="C74" s="7">
        <v>166.3</v>
      </c>
      <c r="D74" s="7">
        <v>181.1</v>
      </c>
      <c r="E74" s="7">
        <v>124.3</v>
      </c>
      <c r="F74" s="34"/>
      <c r="G74" s="35"/>
      <c r="H74" s="7">
        <v>169.89993664128332</v>
      </c>
      <c r="I74" s="9">
        <v>189.95034138422702</v>
      </c>
      <c r="J74" s="7">
        <v>166.67175462083037</v>
      </c>
      <c r="K74" s="10">
        <v>166.71989545599678</v>
      </c>
      <c r="L74" s="35"/>
      <c r="M74" s="35"/>
      <c r="N74" s="35"/>
      <c r="O74" s="35"/>
      <c r="P74" s="35"/>
      <c r="Q74" s="35"/>
      <c r="R74" s="35"/>
    </row>
    <row r="75" spans="1:18" x14ac:dyDescent="0.3">
      <c r="A75" s="28">
        <v>41729</v>
      </c>
      <c r="B75" s="7">
        <v>149.30000000000001</v>
      </c>
      <c r="C75" s="7">
        <v>163.4</v>
      </c>
      <c r="D75" s="7">
        <v>182.5</v>
      </c>
      <c r="E75" s="7">
        <v>123.5</v>
      </c>
      <c r="F75" s="34"/>
      <c r="G75" s="35"/>
      <c r="H75" s="7">
        <v>167.97227564555544</v>
      </c>
      <c r="I75" s="9">
        <v>189.21201463046464</v>
      </c>
      <c r="J75" s="7">
        <v>165.70591794908978</v>
      </c>
      <c r="K75" s="10">
        <v>166.805702370928</v>
      </c>
      <c r="L75" s="35"/>
      <c r="M75" s="35"/>
      <c r="N75" s="35"/>
      <c r="O75" s="35"/>
      <c r="P75" s="35"/>
      <c r="Q75" s="35"/>
      <c r="R75" s="35"/>
    </row>
    <row r="76" spans="1:18" x14ac:dyDescent="0.3">
      <c r="A76" s="28">
        <v>41820</v>
      </c>
      <c r="B76" s="7">
        <v>149</v>
      </c>
      <c r="C76" s="7">
        <v>161.4</v>
      </c>
      <c r="D76" s="7">
        <v>184.6</v>
      </c>
      <c r="E76" s="7">
        <v>123.7</v>
      </c>
      <c r="F76" s="34"/>
      <c r="G76" s="35"/>
      <c r="H76" s="7">
        <v>165.9279030129461</v>
      </c>
      <c r="I76" s="9">
        <v>188.36440732395559</v>
      </c>
      <c r="J76" s="7">
        <v>164.78905545467282</v>
      </c>
      <c r="K76" s="10">
        <v>166.88074872309451</v>
      </c>
      <c r="L76" s="35"/>
      <c r="M76" s="35"/>
      <c r="N76" s="35"/>
      <c r="O76" s="35"/>
      <c r="P76" s="35"/>
      <c r="Q76" s="35"/>
      <c r="R76" s="35"/>
    </row>
    <row r="77" spans="1:18" x14ac:dyDescent="0.3">
      <c r="A77" s="28">
        <v>41912</v>
      </c>
      <c r="B77" s="7">
        <v>148.19999999999999</v>
      </c>
      <c r="C77" s="7">
        <v>160.30000000000001</v>
      </c>
      <c r="D77" s="7">
        <v>185.8</v>
      </c>
      <c r="E77" s="7">
        <v>122.6</v>
      </c>
      <c r="F77" s="34"/>
      <c r="G77" s="35"/>
      <c r="H77" s="7">
        <v>163.97171851593748</v>
      </c>
      <c r="I77" s="9">
        <v>187.467429507124</v>
      </c>
      <c r="J77" s="7">
        <v>163.93368825537596</v>
      </c>
      <c r="K77" s="10">
        <v>166.94564703213169</v>
      </c>
      <c r="L77" s="35"/>
      <c r="M77" s="35"/>
      <c r="N77" s="35"/>
      <c r="O77" s="35"/>
      <c r="P77" s="35"/>
      <c r="Q77" s="35"/>
      <c r="R77" s="35"/>
    </row>
    <row r="78" spans="1:18" x14ac:dyDescent="0.3">
      <c r="A78" s="28">
        <v>42004</v>
      </c>
      <c r="B78" s="7">
        <v>148.4</v>
      </c>
      <c r="C78" s="7">
        <v>158.9</v>
      </c>
      <c r="D78" s="7">
        <v>186.8</v>
      </c>
      <c r="E78" s="7">
        <v>118.2</v>
      </c>
      <c r="F78" s="34"/>
      <c r="G78" s="35"/>
      <c r="H78" s="7">
        <v>162.04500677497953</v>
      </c>
      <c r="I78" s="9">
        <v>186.50561811858344</v>
      </c>
      <c r="J78" s="7">
        <v>163.15021930933648</v>
      </c>
      <c r="K78" s="10">
        <v>167.00099611580313</v>
      </c>
      <c r="L78" s="35"/>
      <c r="M78" s="35"/>
      <c r="N78" s="35"/>
      <c r="O78" s="35"/>
      <c r="P78" s="35"/>
      <c r="Q78" s="35"/>
      <c r="R78" s="35"/>
    </row>
    <row r="79" spans="1:18" x14ac:dyDescent="0.3">
      <c r="A79" s="28">
        <v>42094</v>
      </c>
      <c r="B79" s="7">
        <v>147.69999999999999</v>
      </c>
      <c r="C79" s="7">
        <v>159.4</v>
      </c>
      <c r="D79" s="7">
        <v>189.5</v>
      </c>
      <c r="E79" s="7">
        <v>118.9</v>
      </c>
      <c r="F79" s="34"/>
      <c r="G79" s="35"/>
      <c r="H79" s="7">
        <v>160.53468725753081</v>
      </c>
      <c r="I79" s="9">
        <v>185.59577373598412</v>
      </c>
      <c r="J79" s="7">
        <v>162.44678051953204</v>
      </c>
      <c r="K79" s="10">
        <v>167.04737817775487</v>
      </c>
      <c r="L79" s="35"/>
      <c r="M79" s="35"/>
      <c r="N79" s="35"/>
      <c r="O79" s="35"/>
      <c r="P79" s="35"/>
      <c r="Q79" s="35"/>
      <c r="R79" s="35"/>
    </row>
    <row r="80" spans="1:18" x14ac:dyDescent="0.3">
      <c r="A80" s="28">
        <v>42185</v>
      </c>
      <c r="B80" s="7">
        <v>148.4</v>
      </c>
      <c r="C80" s="7">
        <v>155.80000000000001</v>
      </c>
      <c r="D80" s="7">
        <v>189.8</v>
      </c>
      <c r="E80" s="7">
        <v>118.8</v>
      </c>
      <c r="F80" s="34"/>
      <c r="G80" s="35"/>
      <c r="H80" s="7">
        <v>158.57990571715422</v>
      </c>
      <c r="I80" s="9">
        <v>184.4922828643254</v>
      </c>
      <c r="J80" s="7">
        <v>161.82884740187194</v>
      </c>
      <c r="K80" s="10">
        <v>167.08535516914262</v>
      </c>
      <c r="L80" s="35"/>
      <c r="M80" s="35"/>
      <c r="N80" s="35"/>
      <c r="O80" s="35"/>
      <c r="P80" s="35"/>
      <c r="Q80" s="35"/>
      <c r="R80" s="35"/>
    </row>
    <row r="81" spans="1:18" x14ac:dyDescent="0.3">
      <c r="A81" s="28">
        <v>42277</v>
      </c>
      <c r="B81" s="7">
        <v>148.80000000000001</v>
      </c>
      <c r="C81" s="7">
        <v>156</v>
      </c>
      <c r="D81" s="7">
        <v>190.3</v>
      </c>
      <c r="E81" s="7">
        <v>118.7</v>
      </c>
      <c r="F81" s="34"/>
      <c r="G81" s="35"/>
      <c r="H81" s="7">
        <v>156.9951401138816</v>
      </c>
      <c r="I81" s="9">
        <v>183.42851934447361</v>
      </c>
      <c r="J81" s="7">
        <v>161.29999123444074</v>
      </c>
      <c r="K81" s="10">
        <v>167.11546992267662</v>
      </c>
      <c r="L81" s="35"/>
      <c r="M81" s="35"/>
      <c r="N81" s="35"/>
      <c r="O81" s="35"/>
      <c r="P81" s="35"/>
      <c r="Q81" s="35"/>
      <c r="R81" s="35"/>
    </row>
    <row r="82" spans="1:18" x14ac:dyDescent="0.3">
      <c r="A82" s="28">
        <v>42369</v>
      </c>
      <c r="B82" s="7">
        <v>148.69999999999999</v>
      </c>
      <c r="C82" s="7">
        <v>156.1</v>
      </c>
      <c r="D82" s="7">
        <v>192.4</v>
      </c>
      <c r="E82" s="7">
        <v>117.8</v>
      </c>
      <c r="F82" s="34"/>
      <c r="G82" s="35"/>
      <c r="H82" s="7">
        <v>155.72602048784483</v>
      </c>
      <c r="I82" s="9">
        <v>182.39726581204422</v>
      </c>
      <c r="J82" s="7">
        <v>160.86001526569686</v>
      </c>
      <c r="K82" s="10">
        <v>167.13823705767925</v>
      </c>
      <c r="L82" s="35"/>
      <c r="M82" s="35"/>
      <c r="N82" s="35"/>
      <c r="O82" s="35"/>
      <c r="P82" s="35"/>
      <c r="Q82" s="35"/>
      <c r="R82" s="35"/>
    </row>
    <row r="83" spans="1:18" x14ac:dyDescent="0.3">
      <c r="A83" s="28">
        <v>42460</v>
      </c>
      <c r="B83" s="7">
        <v>149.30000000000001</v>
      </c>
      <c r="C83" s="7">
        <v>156.69999999999999</v>
      </c>
      <c r="D83" s="7">
        <v>194.8</v>
      </c>
      <c r="E83" s="7">
        <v>118.3</v>
      </c>
      <c r="F83" s="34"/>
      <c r="G83" s="35"/>
      <c r="H83" s="7">
        <v>154.84012397042594</v>
      </c>
      <c r="I83" s="9">
        <v>181.42677242761965</v>
      </c>
      <c r="J83" s="7">
        <v>160.50541024957718</v>
      </c>
      <c r="K83" s="10">
        <v>167.15414340479799</v>
      </c>
      <c r="L83" s="35"/>
      <c r="M83" s="35"/>
      <c r="N83" s="35"/>
      <c r="O83" s="35"/>
      <c r="P83" s="35"/>
      <c r="Q83" s="35"/>
      <c r="R83" s="35"/>
    </row>
    <row r="84" spans="1:18" x14ac:dyDescent="0.3">
      <c r="A84" s="28">
        <v>42551</v>
      </c>
      <c r="B84" s="7">
        <v>150</v>
      </c>
      <c r="C84" s="7">
        <v>159.9</v>
      </c>
      <c r="D84" s="7">
        <v>197.2</v>
      </c>
      <c r="E84" s="7">
        <v>118.1</v>
      </c>
      <c r="F84" s="34"/>
      <c r="G84" s="35"/>
      <c r="H84" s="7">
        <v>154.81525305666696</v>
      </c>
      <c r="I84" s="9">
        <v>180.66626400678803</v>
      </c>
      <c r="J84" s="7">
        <v>160.22969193047757</v>
      </c>
      <c r="K84" s="10">
        <v>167.16364819908773</v>
      </c>
      <c r="L84" s="35"/>
      <c r="M84" s="35"/>
      <c r="N84" s="35"/>
      <c r="O84" s="35"/>
      <c r="P84" s="35"/>
      <c r="Q84" s="35"/>
      <c r="R84" s="35"/>
    </row>
    <row r="85" spans="1:18" x14ac:dyDescent="0.3">
      <c r="A85" s="28">
        <v>42643</v>
      </c>
      <c r="B85" s="7">
        <v>151.1</v>
      </c>
      <c r="C85" s="7">
        <v>162</v>
      </c>
      <c r="D85" s="7">
        <v>198.2</v>
      </c>
      <c r="E85" s="7">
        <v>118.3</v>
      </c>
      <c r="F85" s="34"/>
      <c r="G85" s="35"/>
      <c r="H85" s="7">
        <v>155.33019707524809</v>
      </c>
      <c r="I85" s="9">
        <v>180.04381204398229</v>
      </c>
      <c r="J85" s="7">
        <v>160.02399767138792</v>
      </c>
      <c r="K85" s="10">
        <v>167.16718454024485</v>
      </c>
      <c r="L85" s="35"/>
      <c r="M85" s="35"/>
      <c r="N85" s="35"/>
      <c r="O85" s="35"/>
      <c r="P85" s="35"/>
      <c r="Q85" s="35"/>
      <c r="R85" s="35"/>
    </row>
    <row r="86" spans="1:18" x14ac:dyDescent="0.3">
      <c r="A86" s="28">
        <v>42735</v>
      </c>
      <c r="B86" s="7">
        <v>150.6</v>
      </c>
      <c r="C86" s="7">
        <v>161.4</v>
      </c>
      <c r="D86" s="7">
        <v>199.4</v>
      </c>
      <c r="E86" s="7">
        <v>117.7</v>
      </c>
      <c r="F86" s="34"/>
      <c r="G86" s="35"/>
      <c r="H86" s="7">
        <v>155.7706215927104</v>
      </c>
      <c r="I86" s="9">
        <v>179.39840104995355</v>
      </c>
      <c r="J86" s="7">
        <v>159.87925877784156</v>
      </c>
      <c r="K86" s="10">
        <v>167.1651673688452</v>
      </c>
      <c r="L86" s="35"/>
      <c r="M86" s="35"/>
      <c r="N86" s="35"/>
      <c r="O86" s="35"/>
      <c r="P86" s="35"/>
      <c r="Q86" s="35"/>
      <c r="R86" s="35"/>
    </row>
    <row r="87" spans="1:18" x14ac:dyDescent="0.3">
      <c r="A87" s="28">
        <v>42825</v>
      </c>
      <c r="B87" s="7">
        <v>150.9</v>
      </c>
      <c r="C87" s="7">
        <v>162</v>
      </c>
      <c r="D87" s="7">
        <v>200.5</v>
      </c>
      <c r="E87" s="7">
        <v>118.7</v>
      </c>
      <c r="F87" s="34"/>
      <c r="G87" s="35"/>
      <c r="H87" s="7">
        <v>156.36888291815768</v>
      </c>
      <c r="I87" s="9">
        <v>178.80023544096881</v>
      </c>
      <c r="J87" s="7">
        <v>159.78764155682717</v>
      </c>
      <c r="K87" s="10">
        <v>167.15799870750325</v>
      </c>
      <c r="L87" s="35"/>
      <c r="M87" s="35"/>
      <c r="N87" s="35"/>
      <c r="O87" s="35"/>
      <c r="P87" s="35"/>
      <c r="Q87" s="35"/>
      <c r="R87" s="35"/>
    </row>
    <row r="88" spans="1:18" x14ac:dyDescent="0.3">
      <c r="A88" s="28">
        <v>42916</v>
      </c>
      <c r="B88" s="7">
        <v>151.6</v>
      </c>
      <c r="C88" s="7">
        <v>160.69999999999999</v>
      </c>
      <c r="D88" s="7">
        <v>200.7</v>
      </c>
      <c r="E88" s="7">
        <v>118.3</v>
      </c>
      <c r="F88" s="34"/>
      <c r="G88" s="35"/>
      <c r="H88" s="7">
        <v>156.71230795132908</v>
      </c>
      <c r="I88" s="9">
        <v>178.13899936531305</v>
      </c>
      <c r="J88" s="7">
        <v>159.74226277859731</v>
      </c>
      <c r="K88" s="10">
        <v>167.14606616591507</v>
      </c>
      <c r="L88" s="35"/>
      <c r="M88" s="35"/>
      <c r="N88" s="35"/>
      <c r="O88" s="35"/>
      <c r="P88" s="35"/>
      <c r="Q88" s="35"/>
      <c r="R88" s="35"/>
    </row>
    <row r="89" spans="1:18" x14ac:dyDescent="0.3">
      <c r="A89" s="28">
        <v>43008</v>
      </c>
      <c r="B89" s="7">
        <v>151.6</v>
      </c>
      <c r="C89" s="7">
        <v>161.5</v>
      </c>
      <c r="D89" s="7">
        <v>200.4</v>
      </c>
      <c r="E89" s="7">
        <v>118.1</v>
      </c>
      <c r="F89" s="34"/>
      <c r="G89" s="35"/>
      <c r="H89" s="7">
        <v>157.23643843238779</v>
      </c>
      <c r="I89" s="9">
        <v>177.53727092990658</v>
      </c>
      <c r="J89" s="7">
        <v>159.73762193743144</v>
      </c>
      <c r="K89" s="10">
        <v>167.1297444587799</v>
      </c>
      <c r="L89" s="35"/>
      <c r="M89" s="35"/>
      <c r="N89" s="35"/>
      <c r="O89" s="35"/>
      <c r="P89" s="35"/>
      <c r="Q89" s="35"/>
      <c r="R89" s="35"/>
    </row>
    <row r="90" spans="1:18" x14ac:dyDescent="0.3">
      <c r="A90" s="28">
        <v>43100</v>
      </c>
      <c r="B90" s="7">
        <v>152.30000000000001</v>
      </c>
      <c r="C90" s="7">
        <v>162.30000000000001</v>
      </c>
      <c r="D90" s="7">
        <v>200.7</v>
      </c>
      <c r="E90" s="7">
        <v>117.7</v>
      </c>
      <c r="F90" s="34"/>
      <c r="G90" s="35"/>
      <c r="H90" s="7">
        <v>157.91119924635078</v>
      </c>
      <c r="I90" s="9">
        <v>176.99317816342673</v>
      </c>
      <c r="J90" s="7">
        <v>159.76881711337242</v>
      </c>
      <c r="K90" s="10">
        <v>167.10939218563161</v>
      </c>
      <c r="L90" s="35"/>
      <c r="M90" s="35"/>
      <c r="N90" s="35"/>
      <c r="O90" s="35"/>
      <c r="P90" s="35"/>
      <c r="Q90" s="35"/>
      <c r="R90" s="35"/>
    </row>
    <row r="91" spans="1:18" x14ac:dyDescent="0.3">
      <c r="A91" s="28">
        <v>43190</v>
      </c>
      <c r="B91" s="7">
        <v>151.5</v>
      </c>
      <c r="C91" s="7">
        <v>160</v>
      </c>
      <c r="D91" s="7">
        <v>202.2</v>
      </c>
      <c r="E91" s="7">
        <v>118.6</v>
      </c>
      <c r="F91" s="34"/>
      <c r="G91" s="35"/>
      <c r="H91" s="7">
        <v>158.08745573049197</v>
      </c>
      <c r="I91" s="9">
        <v>176.32913604597854</v>
      </c>
      <c r="J91" s="7">
        <v>159.83204787275216</v>
      </c>
      <c r="K91" s="10">
        <v>167.08535387164292</v>
      </c>
      <c r="L91" s="35"/>
      <c r="M91" s="35"/>
      <c r="N91" s="35"/>
      <c r="O91" s="35"/>
      <c r="P91" s="35"/>
      <c r="Q91" s="35"/>
      <c r="R91" s="35"/>
    </row>
    <row r="92" spans="1:18" x14ac:dyDescent="0.3">
      <c r="A92" s="28">
        <v>43281</v>
      </c>
      <c r="B92" s="7">
        <v>152.19999999999999</v>
      </c>
      <c r="C92" s="7">
        <v>159.19999999999999</v>
      </c>
      <c r="D92" s="7">
        <v>204</v>
      </c>
      <c r="E92" s="7">
        <v>119.6</v>
      </c>
      <c r="F92" s="34"/>
      <c r="G92" s="35"/>
      <c r="H92" s="7">
        <v>158.11066882771726</v>
      </c>
      <c r="I92" s="9">
        <v>175.63463765109086</v>
      </c>
      <c r="J92" s="7">
        <v>159.92509577120677</v>
      </c>
      <c r="K92" s="10">
        <v>167.05796201850609</v>
      </c>
      <c r="L92" s="35"/>
      <c r="M92" s="35"/>
      <c r="N92" s="35"/>
      <c r="O92" s="35"/>
      <c r="P92" s="35"/>
      <c r="Q92" s="35"/>
      <c r="R92" s="35"/>
    </row>
    <row r="93" spans="1:18" x14ac:dyDescent="0.3">
      <c r="A93" s="28">
        <v>43373</v>
      </c>
      <c r="B93" s="7">
        <v>151.6</v>
      </c>
      <c r="C93" s="7">
        <v>157.69999999999999</v>
      </c>
      <c r="D93" s="7">
        <v>205.5</v>
      </c>
      <c r="E93" s="7">
        <v>120.6</v>
      </c>
      <c r="F93" s="34"/>
      <c r="G93" s="35"/>
      <c r="H93" s="7">
        <v>157.85274178461282</v>
      </c>
      <c r="I93" s="9">
        <v>174.87167082827514</v>
      </c>
      <c r="J93" s="7">
        <v>160.04584733445191</v>
      </c>
      <c r="K93" s="10">
        <v>167.02753141452868</v>
      </c>
      <c r="L93" s="35"/>
      <c r="M93" s="35"/>
      <c r="N93" s="35"/>
      <c r="O93" s="35"/>
      <c r="P93" s="35"/>
      <c r="Q93" s="35"/>
      <c r="R93" s="35"/>
    </row>
    <row r="94" spans="1:18" x14ac:dyDescent="0.3">
      <c r="A94" s="28">
        <v>43465</v>
      </c>
      <c r="B94" s="7">
        <v>151.6</v>
      </c>
      <c r="C94" s="7">
        <v>157</v>
      </c>
      <c r="D94" s="7">
        <v>206.5</v>
      </c>
      <c r="E94" s="7">
        <v>120</v>
      </c>
      <c r="F94" s="34"/>
      <c r="G94" s="35"/>
      <c r="H94" s="7">
        <v>157.50274003893784</v>
      </c>
      <c r="I94" s="9">
        <v>174.08804002416423</v>
      </c>
      <c r="J94" s="7">
        <v>160.1917359033462</v>
      </c>
      <c r="K94" s="10">
        <v>166.99435720311322</v>
      </c>
      <c r="L94" s="35"/>
      <c r="M94" s="35"/>
      <c r="N94" s="35"/>
      <c r="O94" s="35"/>
      <c r="P94" s="35"/>
      <c r="Q94" s="35"/>
      <c r="R94" s="35"/>
    </row>
    <row r="95" spans="1:18" x14ac:dyDescent="0.3">
      <c r="A95" s="28">
        <v>43555</v>
      </c>
      <c r="B95" s="7">
        <v>151.4</v>
      </c>
      <c r="C95" s="7">
        <v>154.19999999999999</v>
      </c>
      <c r="D95" s="7">
        <v>208.4</v>
      </c>
      <c r="E95" s="7">
        <v>121</v>
      </c>
      <c r="F95" s="34"/>
      <c r="G95" s="35"/>
      <c r="H95" s="7">
        <v>156.65013821096139</v>
      </c>
      <c r="I95" s="9">
        <v>173.16703884595401</v>
      </c>
      <c r="J95" s="7">
        <v>160.35872866416426</v>
      </c>
      <c r="K95" s="10">
        <v>166.95871120883371</v>
      </c>
      <c r="L95" s="35"/>
      <c r="M95" s="35"/>
      <c r="N95" s="35"/>
      <c r="O95" s="35"/>
      <c r="P95" s="35"/>
      <c r="Q95" s="35"/>
      <c r="R95" s="35"/>
    </row>
    <row r="96" spans="1:18" x14ac:dyDescent="0.3">
      <c r="A96" s="28">
        <v>43646</v>
      </c>
      <c r="B96" s="7">
        <v>151.6</v>
      </c>
      <c r="C96" s="7">
        <v>155.69999999999999</v>
      </c>
      <c r="D96" s="7">
        <v>210.6</v>
      </c>
      <c r="E96" s="7">
        <v>122</v>
      </c>
      <c r="F96" s="34"/>
      <c r="G96" s="35"/>
      <c r="H96" s="7">
        <v>156.2145975989699</v>
      </c>
      <c r="I96" s="9">
        <v>172.35459288938108</v>
      </c>
      <c r="J96" s="7">
        <v>160.54079796824109</v>
      </c>
      <c r="K96" s="10">
        <v>166.92084027037109</v>
      </c>
      <c r="L96" s="35"/>
      <c r="M96" s="35"/>
      <c r="N96" s="35"/>
      <c r="O96" s="35"/>
      <c r="P96" s="35"/>
      <c r="Q96" s="35"/>
      <c r="R96" s="35"/>
    </row>
    <row r="97" spans="1:18" x14ac:dyDescent="0.3">
      <c r="A97" s="28">
        <v>43738</v>
      </c>
      <c r="B97" s="7">
        <v>151.69999999999999</v>
      </c>
      <c r="C97" s="7">
        <v>157</v>
      </c>
      <c r="D97" s="7">
        <v>212.7</v>
      </c>
      <c r="E97" s="7">
        <v>122.2</v>
      </c>
      <c r="F97" s="34"/>
      <c r="G97" s="35"/>
      <c r="H97" s="7">
        <v>156.11562769545677</v>
      </c>
      <c r="I97" s="9">
        <v>171.6363612787286</v>
      </c>
      <c r="J97" s="7">
        <v>160.72806696149655</v>
      </c>
      <c r="K97" s="10">
        <v>166.88095932962835</v>
      </c>
      <c r="L97" s="35"/>
      <c r="M97" s="35"/>
      <c r="N97" s="35"/>
      <c r="O97" s="35"/>
      <c r="P97" s="35"/>
      <c r="Q97" s="35"/>
      <c r="R97" s="35"/>
    </row>
    <row r="98" spans="1:18" x14ac:dyDescent="0.3">
      <c r="A98" s="28">
        <v>43830</v>
      </c>
      <c r="B98" s="7">
        <v>151.4</v>
      </c>
      <c r="C98" s="7">
        <v>155.30000000000001</v>
      </c>
      <c r="D98" s="7">
        <v>213.1</v>
      </c>
      <c r="E98" s="7">
        <v>121.9</v>
      </c>
      <c r="F98" s="34"/>
      <c r="G98" s="35"/>
      <c r="H98" s="7">
        <v>155.71532954256983</v>
      </c>
      <c r="I98" s="9">
        <v>170.84232895465078</v>
      </c>
      <c r="J98" s="7">
        <v>160.90763329112039</v>
      </c>
      <c r="K98" s="10">
        <v>166.83925527640781</v>
      </c>
      <c r="L98" s="35"/>
      <c r="M98" s="35"/>
      <c r="N98" s="35"/>
      <c r="O98" s="35"/>
      <c r="P98" s="35"/>
      <c r="Q98" s="35"/>
      <c r="R98" s="35"/>
    </row>
    <row r="99" spans="1:18" x14ac:dyDescent="0.3">
      <c r="A99" s="28">
        <v>43921</v>
      </c>
      <c r="B99" s="7">
        <v>154.6</v>
      </c>
      <c r="C99" s="7">
        <v>158.19999999999999</v>
      </c>
      <c r="D99" s="7">
        <v>217</v>
      </c>
      <c r="E99" s="7">
        <v>123.1</v>
      </c>
      <c r="F99" s="34"/>
      <c r="G99" s="35"/>
      <c r="H99" s="7">
        <v>155.96764288050673</v>
      </c>
      <c r="I99" s="9">
        <v>170.23152785512943</v>
      </c>
      <c r="J99" s="7">
        <v>161.0642645624514</v>
      </c>
      <c r="K99" s="10">
        <v>166.79589029811342</v>
      </c>
      <c r="L99" s="35"/>
      <c r="M99" s="35"/>
      <c r="N99" s="35"/>
      <c r="O99" s="35"/>
      <c r="P99" s="35"/>
      <c r="Q99" s="35"/>
      <c r="R99" s="35"/>
    </row>
    <row r="100" spans="1:18" x14ac:dyDescent="0.3">
      <c r="A100" s="28">
        <v>44012</v>
      </c>
      <c r="B100" s="7">
        <v>160.69999999999999</v>
      </c>
      <c r="C100" s="7">
        <v>167.1</v>
      </c>
      <c r="D100" s="7">
        <v>232.5</v>
      </c>
      <c r="E100" s="7">
        <v>127.9</v>
      </c>
      <c r="F100" s="34"/>
      <c r="G100" s="35"/>
      <c r="H100" s="7">
        <v>158.00420320805623</v>
      </c>
      <c r="I100" s="9">
        <v>170.13195688521307</v>
      </c>
      <c r="J100" s="7">
        <v>161.17922361002144</v>
      </c>
      <c r="K100" s="10">
        <v>166.75099773401098</v>
      </c>
      <c r="L100" s="35"/>
      <c r="M100" s="35"/>
      <c r="N100" s="35"/>
      <c r="O100" s="35"/>
      <c r="P100" s="35"/>
      <c r="Q100" s="35"/>
      <c r="R100" s="35"/>
    </row>
    <row r="101" spans="1:18" x14ac:dyDescent="0.3">
      <c r="A101" s="28">
        <v>44104</v>
      </c>
      <c r="B101" s="7">
        <v>162.1</v>
      </c>
      <c r="C101" s="7">
        <v>170</v>
      </c>
      <c r="D101" s="7">
        <v>236.9</v>
      </c>
      <c r="E101" s="7">
        <v>129.6</v>
      </c>
      <c r="F101" s="34"/>
      <c r="G101" s="35"/>
      <c r="H101" s="7">
        <v>160.41724921202839</v>
      </c>
      <c r="I101" s="9">
        <v>170.19445816392886</v>
      </c>
      <c r="J101" s="7">
        <v>161.23198310301083</v>
      </c>
      <c r="K101" s="10">
        <v>166.70468943364057</v>
      </c>
      <c r="L101" s="35"/>
      <c r="M101" s="35"/>
      <c r="N101" s="35"/>
      <c r="O101" s="35"/>
      <c r="P101" s="35"/>
      <c r="Q101" s="35"/>
      <c r="R101" s="35"/>
    </row>
    <row r="102" spans="1:18" x14ac:dyDescent="0.3">
      <c r="A102" s="28">
        <v>44196</v>
      </c>
      <c r="B102" s="7">
        <v>163.6</v>
      </c>
      <c r="C102" s="7">
        <v>173.5</v>
      </c>
      <c r="D102" s="7">
        <v>241.1</v>
      </c>
      <c r="E102" s="7">
        <v>131</v>
      </c>
      <c r="F102" s="34"/>
      <c r="G102" s="35"/>
      <c r="H102" s="7">
        <v>163.26249291590463</v>
      </c>
      <c r="I102" s="9">
        <v>170.44720477347732</v>
      </c>
      <c r="J102" s="7">
        <v>161.20571619584365</v>
      </c>
      <c r="K102" s="10">
        <v>166.65707811904792</v>
      </c>
      <c r="L102" s="35"/>
      <c r="M102" s="35"/>
      <c r="N102" s="35"/>
      <c r="O102" s="35"/>
      <c r="P102" s="35"/>
      <c r="Q102" s="35"/>
      <c r="R102" s="35"/>
    </row>
    <row r="103" spans="1:18" x14ac:dyDescent="0.3">
      <c r="A103" s="28">
        <v>44286</v>
      </c>
      <c r="B103" s="7">
        <v>164.2</v>
      </c>
      <c r="C103" s="7">
        <v>175.7</v>
      </c>
      <c r="D103" s="7">
        <v>240.3</v>
      </c>
      <c r="E103" s="7">
        <v>132.69999999999999</v>
      </c>
      <c r="F103" s="34"/>
      <c r="G103" s="35"/>
      <c r="H103" s="7">
        <v>166.20716700729668</v>
      </c>
      <c r="I103" s="9">
        <v>170.81222310051689</v>
      </c>
      <c r="J103" s="7">
        <v>161.08907605350458</v>
      </c>
      <c r="K103" s="10">
        <v>166.60828475055519</v>
      </c>
      <c r="L103" s="35"/>
      <c r="M103" s="35"/>
      <c r="N103" s="35"/>
      <c r="O103" s="35"/>
      <c r="P103" s="35"/>
      <c r="Q103" s="35"/>
      <c r="R103" s="35"/>
    </row>
    <row r="104" spans="1:18" x14ac:dyDescent="0.3">
      <c r="A104" s="28">
        <v>44377</v>
      </c>
      <c r="B104" s="7">
        <v>159.69999999999999</v>
      </c>
      <c r="C104" s="7">
        <v>170.5</v>
      </c>
      <c r="D104" s="7">
        <v>234</v>
      </c>
      <c r="E104" s="7">
        <v>130.1</v>
      </c>
      <c r="F104" s="34"/>
      <c r="G104" s="35"/>
      <c r="H104" s="7">
        <v>167.73056846991841</v>
      </c>
      <c r="I104" s="9">
        <v>170.8767411507215</v>
      </c>
      <c r="J104" s="7">
        <v>160.87839976835591</v>
      </c>
      <c r="K104" s="10">
        <v>166.55844739578919</v>
      </c>
      <c r="L104" s="35"/>
      <c r="M104" s="35"/>
      <c r="N104" s="35"/>
      <c r="O104" s="35"/>
      <c r="P104" s="35"/>
      <c r="Q104" s="35"/>
      <c r="R104" s="35"/>
    </row>
    <row r="105" spans="1:18" x14ac:dyDescent="0.3">
      <c r="A105" s="28">
        <v>44469</v>
      </c>
      <c r="B105" s="7">
        <v>158.19999999999999</v>
      </c>
      <c r="C105" s="7">
        <v>167.2</v>
      </c>
      <c r="D105" s="7">
        <v>233.3</v>
      </c>
      <c r="E105" s="7">
        <v>129.69999999999999</v>
      </c>
      <c r="F105" s="34"/>
      <c r="G105" s="35"/>
      <c r="H105" s="7">
        <v>168.34851162305841</v>
      </c>
      <c r="I105" s="9">
        <v>170.75487365010554</v>
      </c>
      <c r="J105" s="7">
        <v>160.57915626022648</v>
      </c>
      <c r="K105" s="10">
        <v>166.5077268516649</v>
      </c>
      <c r="L105" s="35"/>
      <c r="M105" s="35"/>
      <c r="N105" s="35"/>
      <c r="O105" s="35"/>
      <c r="P105" s="35"/>
      <c r="Q105" s="35"/>
      <c r="R105" s="35"/>
    </row>
    <row r="106" spans="1:18" x14ac:dyDescent="0.3">
      <c r="A106" s="28">
        <v>44561</v>
      </c>
      <c r="B106" s="7">
        <v>156.9</v>
      </c>
      <c r="C106" s="7">
        <v>163.30000000000001</v>
      </c>
      <c r="D106" s="7">
        <v>232.5</v>
      </c>
      <c r="E106" s="7">
        <v>130.19999999999999</v>
      </c>
      <c r="F106" s="34"/>
      <c r="G106" s="35"/>
      <c r="H106" s="7">
        <v>168.03468061853044</v>
      </c>
      <c r="I106" s="9">
        <v>170.41926880611783</v>
      </c>
      <c r="J106" s="7">
        <v>160.20282794908994</v>
      </c>
      <c r="K106" s="10">
        <v>166.45629376897878</v>
      </c>
      <c r="L106" s="35"/>
      <c r="M106" s="35"/>
      <c r="N106" s="35"/>
      <c r="O106" s="35"/>
      <c r="P106" s="35"/>
      <c r="Q106" s="35"/>
      <c r="R106" s="35"/>
    </row>
    <row r="107" spans="1:18" x14ac:dyDescent="0.3">
      <c r="A107" s="28">
        <v>44651</v>
      </c>
      <c r="B107" s="7">
        <v>155.80000000000001</v>
      </c>
      <c r="C107" s="7">
        <v>157.19999999999999</v>
      </c>
      <c r="D107" s="7">
        <v>230.3</v>
      </c>
      <c r="E107" s="7">
        <v>128.9</v>
      </c>
      <c r="F107" s="34"/>
      <c r="G107" s="35"/>
      <c r="H107" s="7">
        <v>166.45456358449297</v>
      </c>
      <c r="I107" s="9">
        <v>169.75529996866032</v>
      </c>
      <c r="J107" s="7">
        <v>159.76503528225732</v>
      </c>
      <c r="K107" s="10">
        <v>166.4043205292102</v>
      </c>
      <c r="L107" s="35"/>
      <c r="M107" s="35"/>
      <c r="N107" s="35"/>
      <c r="O107" s="35"/>
      <c r="P107" s="35"/>
      <c r="Q107" s="35"/>
      <c r="R107" s="35"/>
    </row>
    <row r="108" spans="1:18" x14ac:dyDescent="0.3">
      <c r="A108" s="28">
        <v>44742</v>
      </c>
      <c r="B108" s="7">
        <v>155</v>
      </c>
      <c r="C108" s="7">
        <v>154.4</v>
      </c>
      <c r="D108" s="7">
        <v>228.6</v>
      </c>
      <c r="E108" s="7">
        <v>128.1</v>
      </c>
      <c r="F108" s="34"/>
      <c r="G108" s="35"/>
      <c r="H108" s="7">
        <v>164.42292505693618</v>
      </c>
      <c r="I108" s="9">
        <v>168.95495473068007</v>
      </c>
      <c r="J108" s="7">
        <v>159.28333443957146</v>
      </c>
      <c r="K108" s="10">
        <v>166.35197162310408</v>
      </c>
      <c r="L108" s="35"/>
      <c r="M108" s="35"/>
      <c r="N108" s="35"/>
      <c r="O108" s="35"/>
      <c r="P108" s="35"/>
      <c r="Q108" s="35"/>
      <c r="R108" s="35"/>
    </row>
    <row r="109" spans="1:18" x14ac:dyDescent="0.3">
      <c r="A109" s="28">
        <v>44834</v>
      </c>
      <c r="B109" s="7">
        <v>153.5</v>
      </c>
      <c r="C109" s="7">
        <v>153.6</v>
      </c>
      <c r="D109" s="7">
        <v>229.4</v>
      </c>
      <c r="E109" s="7">
        <v>128.9</v>
      </c>
      <c r="F109" s="34"/>
      <c r="G109" s="35"/>
      <c r="H109" s="7">
        <v>162.41425780078077</v>
      </c>
      <c r="I109" s="9">
        <v>168.13287241311298</v>
      </c>
      <c r="J109" s="7">
        <v>158.77367845382383</v>
      </c>
      <c r="K109" s="10">
        <v>166.29938853060406</v>
      </c>
      <c r="L109" s="35"/>
      <c r="M109" s="35"/>
      <c r="N109" s="35"/>
      <c r="O109" s="35"/>
      <c r="P109" s="35"/>
      <c r="Q109" s="35"/>
      <c r="R109" s="35"/>
    </row>
    <row r="110" spans="1:18" x14ac:dyDescent="0.3">
      <c r="A110" s="28">
        <v>44926</v>
      </c>
      <c r="B110" s="7">
        <v>152.5</v>
      </c>
      <c r="C110" s="7">
        <v>151.4</v>
      </c>
      <c r="D110" s="7">
        <v>228.4</v>
      </c>
      <c r="E110" s="7">
        <v>127.8</v>
      </c>
      <c r="F110" s="34"/>
      <c r="G110" s="35"/>
      <c r="H110" s="7">
        <v>160.17019330571469</v>
      </c>
      <c r="I110" s="9">
        <v>167.21321966044002</v>
      </c>
      <c r="J110" s="7">
        <v>158.24896827378112</v>
      </c>
      <c r="K110" s="10">
        <v>166.24668285172473</v>
      </c>
      <c r="L110" s="35"/>
      <c r="M110" s="35"/>
      <c r="N110" s="35"/>
      <c r="O110" s="35"/>
      <c r="P110" s="35"/>
      <c r="Q110" s="35"/>
      <c r="R110" s="35"/>
    </row>
    <row r="111" spans="1:18" x14ac:dyDescent="0.3">
      <c r="A111" s="29">
        <v>45016</v>
      </c>
      <c r="B111" s="8">
        <v>150.80000000000001</v>
      </c>
      <c r="C111" s="8">
        <v>149.1</v>
      </c>
      <c r="D111" s="8">
        <v>226.1</v>
      </c>
      <c r="E111" s="8">
        <v>126.4</v>
      </c>
      <c r="F111" s="34"/>
      <c r="G111" s="35"/>
      <c r="H111" s="8">
        <v>157.71887129917641</v>
      </c>
      <c r="I111" s="11">
        <v>166.19393443800931</v>
      </c>
      <c r="J111" s="8">
        <v>157.71887129917641</v>
      </c>
      <c r="K111" s="12">
        <v>166.19393443800931</v>
      </c>
      <c r="L111" s="35"/>
      <c r="M111" s="35"/>
      <c r="N111" s="35"/>
      <c r="O111" s="35"/>
      <c r="P111" s="35"/>
      <c r="Q111" s="35"/>
      <c r="R111" s="35"/>
    </row>
    <row r="112" spans="1:18" x14ac:dyDescent="0.3">
      <c r="A112" s="36"/>
      <c r="B112" s="35"/>
      <c r="C112" s="35"/>
      <c r="D112" s="35"/>
      <c r="E112" s="35"/>
      <c r="F112" s="34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</row>
    <row r="113" spans="1:18" x14ac:dyDescent="0.3">
      <c r="A113" s="36"/>
      <c r="B113" s="35"/>
      <c r="C113" s="35"/>
      <c r="D113" s="35"/>
      <c r="E113" s="35"/>
      <c r="F113" s="34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</row>
    <row r="114" spans="1:18" x14ac:dyDescent="0.3">
      <c r="A114" s="36"/>
      <c r="B114" s="35"/>
      <c r="C114" s="35"/>
      <c r="D114" s="35"/>
      <c r="E114" s="35"/>
      <c r="F114" s="34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</row>
    <row r="115" spans="1:18" x14ac:dyDescent="0.3">
      <c r="A115" s="36"/>
      <c r="B115" s="35"/>
      <c r="C115" s="35"/>
      <c r="D115" s="35"/>
      <c r="E115" s="35"/>
      <c r="F115" s="34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</row>
    <row r="116" spans="1:18" x14ac:dyDescent="0.3">
      <c r="A116" s="36"/>
      <c r="B116" s="35"/>
      <c r="C116" s="35"/>
      <c r="D116" s="35"/>
      <c r="E116" s="35"/>
      <c r="F116" s="34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</row>
    <row r="117" spans="1:18" x14ac:dyDescent="0.3">
      <c r="A117" s="36"/>
      <c r="B117" s="35"/>
      <c r="C117" s="35"/>
      <c r="D117" s="35"/>
      <c r="E117" s="35"/>
      <c r="F117" s="34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</row>
    <row r="118" spans="1:18" x14ac:dyDescent="0.3">
      <c r="A118" s="36"/>
      <c r="B118" s="35"/>
      <c r="C118" s="35"/>
      <c r="D118" s="35"/>
      <c r="E118" s="35"/>
      <c r="F118" s="34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</row>
    <row r="119" spans="1:18" x14ac:dyDescent="0.3">
      <c r="A119" s="36"/>
      <c r="B119" s="35"/>
      <c r="C119" s="35"/>
      <c r="D119" s="35"/>
      <c r="E119" s="35"/>
      <c r="F119" s="34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</row>
    <row r="120" spans="1:18" x14ac:dyDescent="0.3">
      <c r="A120" s="36"/>
      <c r="B120" s="35"/>
      <c r="C120" s="35"/>
      <c r="D120" s="35"/>
      <c r="E120" s="35"/>
      <c r="F120" s="34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hpfilter</vt:lpstr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2023-10-08T19:52:29Z</dcterms:created>
  <dcterms:modified xsi:type="dcterms:W3CDTF">2023-10-08T22:17:30Z</dcterms:modified>
</cp:coreProperties>
</file>